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nric\Documents\UOC\TFM\4-Validacio\documentacio\"/>
    </mc:Choice>
  </mc:AlternateContent>
  <xr:revisionPtr revIDLastSave="0" documentId="13_ncr:1_{A3FFBB48-BE9F-4455-8803-B933614A7F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abilitat" sheetId="1" r:id="rId1"/>
    <sheet name="Elecció" sheetId="2" r:id="rId2"/>
    <sheet name="Fase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3" l="1"/>
  <c r="D26" i="3"/>
  <c r="F10" i="3"/>
  <c r="F11" i="3" s="1"/>
  <c r="F17" i="3"/>
  <c r="F18" i="3" s="1"/>
  <c r="F15" i="3"/>
  <c r="F14" i="3"/>
  <c r="F16" i="3" s="1"/>
  <c r="F12" i="3"/>
  <c r="F8" i="3"/>
  <c r="F5" i="3"/>
  <c r="F6" i="3"/>
  <c r="F4" i="3"/>
  <c r="D32" i="3" l="1"/>
  <c r="F13" i="3"/>
  <c r="F9" i="3"/>
  <c r="F7" i="3"/>
  <c r="F19" i="3" l="1"/>
</calcChain>
</file>

<file path=xl/sharedStrings.xml><?xml version="1.0" encoding="utf-8"?>
<sst xmlns="http://schemas.openxmlformats.org/spreadsheetml/2006/main" count="106" uniqueCount="73">
  <si>
    <t>COSTOS INICIALS</t>
  </si>
  <si>
    <t>Concepte</t>
  </si>
  <si>
    <t>Estimació de preus</t>
  </si>
  <si>
    <t>Nou router agregador</t>
  </si>
  <si>
    <t>10.000 – 60.000 €</t>
  </si>
  <si>
    <t>Interfícies d’alta capacitat</t>
  </si>
  <si>
    <t>Costos d’enginyeria</t>
  </si>
  <si>
    <t>6.000 – 15.000 €</t>
  </si>
  <si>
    <t>INCREMENT DELS COSTOS RECURRENTS ACTUALS</t>
  </si>
  <si>
    <t>Nous cross-connect</t>
  </si>
  <si>
    <t>Millores de connexió amb proveïdors</t>
  </si>
  <si>
    <t>TOTAL ESTIMAT</t>
  </si>
  <si>
    <t>Pressupost estimat</t>
  </si>
  <si>
    <t>Marca i model</t>
  </si>
  <si>
    <t>Preu [€]</t>
  </si>
  <si>
    <t>Espai</t>
  </si>
  <si>
    <t>Cosum [W]</t>
  </si>
  <si>
    <t>Interfícies</t>
  </si>
  <si>
    <t>1U</t>
  </si>
  <si>
    <t>2,4 Tbps</t>
  </si>
  <si>
    <t>28x 10GE/1GE, 8x 25GE/10GE/1GE, 12x 25GE/10GE, 8x100GE/40GE</t>
  </si>
  <si>
    <t>2U</t>
  </si>
  <si>
    <t>7,2 Tbps</t>
  </si>
  <si>
    <t>5,6 Tbps</t>
  </si>
  <si>
    <t>48x25GE/10GE/1GE, 4x100GE/40GE, 6x400GE/100GE</t>
  </si>
  <si>
    <t>4,8 Tbps</t>
  </si>
  <si>
    <t>96x25GE/10GE, 48x100GE/40GE, 12x400GE</t>
  </si>
  <si>
    <t>Huawei NE8000-F1A</t>
  </si>
  <si>
    <t>Huawei NE8000E-F2D</t>
  </si>
  <si>
    <t>Cisco 8711-48Z-M</t>
  </si>
  <si>
    <t>Juniper MX304</t>
  </si>
  <si>
    <t>https://e.huawei.com/en/documents/products/enterprise-network/9d1e5a135656419fb90354e8c68136eb</t>
  </si>
  <si>
    <t>https://e.huawei.com/en/documents/products/enterprise-network/c5241be9c1604dc98e350200e697f27d</t>
  </si>
  <si>
    <t>24x10GE/1GE, 16x25GE/10GE/1GE, 4-16 combo 100GE-26GE, 4x100GE/40GE, 6-24 combo 400GE-100GE</t>
  </si>
  <si>
    <t>Enllaç</t>
  </si>
  <si>
    <t>Capacitat Switching</t>
  </si>
  <si>
    <t xml:space="preserve"> </t>
  </si>
  <si>
    <t>https://www.cisco.com/c/en/us/products/collateral/routers/8000-series-routers/8700-series-routers-ds.html</t>
  </si>
  <si>
    <t>https://buy.hpe.com/mx/es/networking/routers/modular-ethernet-routers/juniper-mx304-universal-router/p/1014920258</t>
  </si>
  <si>
    <t>FASE 0</t>
  </si>
  <si>
    <t>FASE 1</t>
  </si>
  <si>
    <t>FASE 2</t>
  </si>
  <si>
    <t>FASE 3</t>
  </si>
  <si>
    <t>FASE 4</t>
  </si>
  <si>
    <t>FASE 5</t>
  </si>
  <si>
    <t>Esdeveniment</t>
  </si>
  <si>
    <t>Cost [€]</t>
  </si>
  <si>
    <t>Unitats</t>
  </si>
  <si>
    <t>Total [€]</t>
  </si>
  <si>
    <t>TOTAL FASE 0</t>
  </si>
  <si>
    <t>TOTAL FASE 1</t>
  </si>
  <si>
    <t>TOTAL FASE 2</t>
  </si>
  <si>
    <t>TOTAL FASE 3</t>
  </si>
  <si>
    <t>TOTAL FASE 4</t>
  </si>
  <si>
    <t>TOTAL FASE 5</t>
  </si>
  <si>
    <t>QSFP+ 2km [40GE]</t>
  </si>
  <si>
    <t>QSFP28 2km [100GE]</t>
  </si>
  <si>
    <t>SFP28 10km [25GE]</t>
  </si>
  <si>
    <t>TOTAL FINAL</t>
  </si>
  <si>
    <t>COSTOS RECURRENTS</t>
  </si>
  <si>
    <t>Increment 
Cost [€/mes]</t>
  </si>
  <si>
    <t>Ampliació Orange-Jazztel 25GE</t>
  </si>
  <si>
    <t>Ampliació Hurricane 40G</t>
  </si>
  <si>
    <t>Ampliació Orange-Jazztel 40GE</t>
  </si>
  <si>
    <t xml:space="preserve">Nou port Espanix 10GE </t>
  </si>
  <si>
    <t>Ampliació Espanix 100GE</t>
  </si>
  <si>
    <t>sense increment recurrent</t>
  </si>
  <si>
    <t>INCREMENT TOTAL</t>
  </si>
  <si>
    <t>cross-connect</t>
  </si>
  <si>
    <t>50 – 400 € x 12</t>
  </si>
  <si>
    <t>150 €/mes per cada connexió x 2</t>
  </si>
  <si>
    <t>300 – 1.000 €/mes per cada connexió x3</t>
  </si>
  <si>
    <r>
      <t>Inicial:</t>
    </r>
    <r>
      <rPr>
        <sz val="9"/>
        <color rgb="FF000000"/>
        <rFont val="Arial"/>
        <family val="2"/>
      </rPr>
      <t xml:space="preserve"> 16.600 – 79.800 € + </t>
    </r>
    <r>
      <rPr>
        <b/>
        <sz val="9"/>
        <color rgb="FF000000"/>
        <rFont val="Arial"/>
        <family val="2"/>
      </rPr>
      <t>Variable:</t>
    </r>
    <r>
      <rPr>
        <sz val="9"/>
        <color rgb="FF000000"/>
        <rFont val="Arial"/>
        <family val="2"/>
      </rPr>
      <t xml:space="preserve"> 1.200 – 3.300 €/mes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</si>
</sst>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3" fontId="5" fillId="0" borderId="1" xfId="0" applyNumberFormat="1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0" fontId="6" fillId="2" borderId="1" xfId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isco.com/c/en/us/products/collateral/routers/8000-series-routers/8700-series-routers-ds.html" TargetMode="External"/><Relationship Id="rId2" Type="http://schemas.openxmlformats.org/officeDocument/2006/relationships/hyperlink" Target="https://e.huawei.com/en/documents/products/enterprise-network/c5241be9c1604dc98e350200e697f27d" TargetMode="External"/><Relationship Id="rId1" Type="http://schemas.openxmlformats.org/officeDocument/2006/relationships/hyperlink" Target="https://e.huawei.com/en/documents/products/enterprise-network/9d1e5a135656419fb90354e8c68136eb" TargetMode="External"/><Relationship Id="rId4" Type="http://schemas.openxmlformats.org/officeDocument/2006/relationships/hyperlink" Target="https://buy.hpe.com/mx/es/networking/routers/modular-ethernet-routers/juniper-mx304-universal-router/p/1014920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tabSelected="1" workbookViewId="0">
      <selection activeCell="B2" sqref="B2:C2"/>
    </sheetView>
  </sheetViews>
  <sheetFormatPr baseColWidth="10" defaultColWidth="8.88671875" defaultRowHeight="14.4" x14ac:dyDescent="0.3"/>
  <cols>
    <col min="1" max="1" width="8.88671875" style="1"/>
    <col min="2" max="2" width="30.44140625" style="1" bestFit="1" customWidth="1"/>
    <col min="3" max="3" width="50.88671875" style="1" customWidth="1"/>
    <col min="4" max="16384" width="8.88671875" style="1"/>
  </cols>
  <sheetData>
    <row r="2" spans="2:3" x14ac:dyDescent="0.3">
      <c r="B2" s="19" t="s">
        <v>0</v>
      </c>
      <c r="C2" s="19"/>
    </row>
    <row r="3" spans="2:3" x14ac:dyDescent="0.3">
      <c r="B3" s="2" t="s">
        <v>1</v>
      </c>
      <c r="C3" s="2" t="s">
        <v>2</v>
      </c>
    </row>
    <row r="4" spans="2:3" x14ac:dyDescent="0.3">
      <c r="B4" s="2" t="s">
        <v>3</v>
      </c>
      <c r="C4" s="3" t="s">
        <v>4</v>
      </c>
    </row>
    <row r="5" spans="2:3" x14ac:dyDescent="0.3">
      <c r="B5" s="2" t="s">
        <v>5</v>
      </c>
      <c r="C5" s="3" t="s">
        <v>69</v>
      </c>
    </row>
    <row r="6" spans="2:3" x14ac:dyDescent="0.3">
      <c r="B6" s="2" t="s">
        <v>6</v>
      </c>
      <c r="C6" s="3" t="s">
        <v>7</v>
      </c>
    </row>
    <row r="7" spans="2:3" x14ac:dyDescent="0.3">
      <c r="B7" s="19" t="s">
        <v>8</v>
      </c>
      <c r="C7" s="19"/>
    </row>
    <row r="8" spans="2:3" x14ac:dyDescent="0.3">
      <c r="B8" s="2" t="s">
        <v>9</v>
      </c>
      <c r="C8" s="3" t="s">
        <v>70</v>
      </c>
    </row>
    <row r="9" spans="2:3" x14ac:dyDescent="0.3">
      <c r="B9" s="2" t="s">
        <v>10</v>
      </c>
      <c r="C9" s="3" t="s">
        <v>71</v>
      </c>
    </row>
    <row r="10" spans="2:3" x14ac:dyDescent="0.3">
      <c r="B10" s="19" t="s">
        <v>11</v>
      </c>
      <c r="C10" s="19"/>
    </row>
    <row r="11" spans="2:3" x14ac:dyDescent="0.3">
      <c r="B11" s="2" t="s">
        <v>12</v>
      </c>
      <c r="C11" s="2" t="s">
        <v>72</v>
      </c>
    </row>
  </sheetData>
  <mergeCells count="3">
    <mergeCell ref="B2:C2"/>
    <mergeCell ref="B7:C7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F70A-9E92-4136-AA9C-0988134E33A5}">
  <dimension ref="B2:I7"/>
  <sheetViews>
    <sheetView workbookViewId="0">
      <selection activeCell="B2" sqref="B2"/>
    </sheetView>
  </sheetViews>
  <sheetFormatPr baseColWidth="10" defaultRowHeight="14.4" x14ac:dyDescent="0.3"/>
  <cols>
    <col min="1" max="1" width="11.5546875" style="1"/>
    <col min="2" max="2" width="15.77734375" style="1" bestFit="1" customWidth="1"/>
    <col min="3" max="3" width="6.88671875" style="1" bestFit="1" customWidth="1"/>
    <col min="4" max="4" width="5" style="1" bestFit="1" customWidth="1"/>
    <col min="5" max="5" width="9.44140625" style="1" bestFit="1" customWidth="1"/>
    <col min="6" max="6" width="8.44140625" style="1" bestFit="1" customWidth="1"/>
    <col min="7" max="7" width="73.44140625" style="1" bestFit="1" customWidth="1"/>
    <col min="8" max="16384" width="11.5546875" style="1"/>
  </cols>
  <sheetData>
    <row r="2" spans="2:9" ht="20.399999999999999" x14ac:dyDescent="0.3">
      <c r="B2" s="7" t="s">
        <v>13</v>
      </c>
      <c r="C2" s="7" t="s">
        <v>14</v>
      </c>
      <c r="D2" s="7" t="s">
        <v>15</v>
      </c>
      <c r="E2" s="7" t="s">
        <v>16</v>
      </c>
      <c r="F2" s="4" t="s">
        <v>35</v>
      </c>
      <c r="G2" s="7" t="s">
        <v>17</v>
      </c>
      <c r="H2" s="8" t="s">
        <v>34</v>
      </c>
      <c r="I2" s="1" t="s">
        <v>36</v>
      </c>
    </row>
    <row r="3" spans="2:9" x14ac:dyDescent="0.3">
      <c r="B3" s="5" t="s">
        <v>27</v>
      </c>
      <c r="C3" s="6">
        <v>11000</v>
      </c>
      <c r="D3" s="5" t="s">
        <v>18</v>
      </c>
      <c r="E3" s="5">
        <v>325</v>
      </c>
      <c r="F3" s="5" t="s">
        <v>19</v>
      </c>
      <c r="G3" s="5" t="s">
        <v>20</v>
      </c>
      <c r="H3" s="11" t="s">
        <v>31</v>
      </c>
      <c r="I3" s="1" t="s">
        <v>36</v>
      </c>
    </row>
    <row r="4" spans="2:9" x14ac:dyDescent="0.3">
      <c r="B4" s="5" t="s">
        <v>28</v>
      </c>
      <c r="C4" s="6">
        <v>55000</v>
      </c>
      <c r="D4" s="5" t="s">
        <v>21</v>
      </c>
      <c r="E4" s="5">
        <v>623</v>
      </c>
      <c r="F4" s="5" t="s">
        <v>22</v>
      </c>
      <c r="G4" s="5" t="s">
        <v>33</v>
      </c>
      <c r="H4" s="11" t="s">
        <v>32</v>
      </c>
      <c r="I4" s="1" t="s">
        <v>36</v>
      </c>
    </row>
    <row r="5" spans="2:9" x14ac:dyDescent="0.3">
      <c r="B5" s="5" t="s">
        <v>29</v>
      </c>
      <c r="C5" s="6">
        <v>280000</v>
      </c>
      <c r="D5" s="5" t="s">
        <v>18</v>
      </c>
      <c r="E5" s="5">
        <v>740</v>
      </c>
      <c r="F5" s="5" t="s">
        <v>23</v>
      </c>
      <c r="G5" s="5" t="s">
        <v>24</v>
      </c>
      <c r="H5" s="11" t="s">
        <v>37</v>
      </c>
      <c r="I5" s="1" t="s">
        <v>36</v>
      </c>
    </row>
    <row r="6" spans="2:9" x14ac:dyDescent="0.3">
      <c r="B6" s="5" t="s">
        <v>30</v>
      </c>
      <c r="C6" s="6">
        <v>55000</v>
      </c>
      <c r="D6" s="5" t="s">
        <v>21</v>
      </c>
      <c r="E6" s="5">
        <v>654</v>
      </c>
      <c r="F6" s="5" t="s">
        <v>25</v>
      </c>
      <c r="G6" s="5" t="s">
        <v>26</v>
      </c>
      <c r="H6" s="11" t="s">
        <v>38</v>
      </c>
      <c r="I6" s="1" t="s">
        <v>36</v>
      </c>
    </row>
    <row r="7" spans="2:9" x14ac:dyDescent="0.3">
      <c r="H7" s="12"/>
    </row>
  </sheetData>
  <hyperlinks>
    <hyperlink ref="H3" r:id="rId1" xr:uid="{B05B7199-277C-48D5-B1EF-6166569BFB2A}"/>
    <hyperlink ref="H4" r:id="rId2" xr:uid="{C9B517C5-13ED-4D4A-8C96-7FC58056341D}"/>
    <hyperlink ref="H5" r:id="rId3" xr:uid="{2CF1DCB6-99B7-46EE-9024-028C4D408065}"/>
    <hyperlink ref="H6" r:id="rId4" xr:uid="{F9DCA898-9E47-4173-A71A-9F1E320CAA1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5ABE-FF50-4DE3-854D-08D0E3980241}">
  <dimension ref="B2:G32"/>
  <sheetViews>
    <sheetView workbookViewId="0">
      <selection activeCell="B2" sqref="B2:F2"/>
    </sheetView>
  </sheetViews>
  <sheetFormatPr baseColWidth="10" defaultRowHeight="14.4" x14ac:dyDescent="0.3"/>
  <cols>
    <col min="1" max="1" width="11.5546875" style="1"/>
    <col min="2" max="2" width="17.6640625" style="1" customWidth="1"/>
    <col min="3" max="3" width="27.6640625" style="1" bestFit="1" customWidth="1"/>
    <col min="4" max="5" width="11.88671875" style="1" bestFit="1" customWidth="1"/>
    <col min="6" max="16384" width="11.5546875" style="1"/>
  </cols>
  <sheetData>
    <row r="2" spans="2:7" x14ac:dyDescent="0.3">
      <c r="B2" s="20" t="s">
        <v>0</v>
      </c>
      <c r="C2" s="20"/>
      <c r="D2" s="20"/>
      <c r="E2" s="20"/>
      <c r="F2" s="20"/>
    </row>
    <row r="3" spans="2:7" x14ac:dyDescent="0.3">
      <c r="B3" s="8" t="s">
        <v>45</v>
      </c>
      <c r="C3" s="8" t="s">
        <v>1</v>
      </c>
      <c r="D3" s="8" t="s">
        <v>47</v>
      </c>
      <c r="E3" s="8" t="s">
        <v>46</v>
      </c>
      <c r="F3" s="8" t="s">
        <v>48</v>
      </c>
      <c r="G3" s="1" t="s">
        <v>36</v>
      </c>
    </row>
    <row r="4" spans="2:7" x14ac:dyDescent="0.3">
      <c r="B4" s="21" t="s">
        <v>39</v>
      </c>
      <c r="C4" s="9" t="s">
        <v>27</v>
      </c>
      <c r="D4" s="9">
        <v>1</v>
      </c>
      <c r="E4" s="10">
        <v>11000</v>
      </c>
      <c r="F4" s="10">
        <f>D4*E4</f>
        <v>11000</v>
      </c>
      <c r="G4" s="1" t="s">
        <v>36</v>
      </c>
    </row>
    <row r="5" spans="2:7" x14ac:dyDescent="0.3">
      <c r="B5" s="21"/>
      <c r="C5" s="9" t="s">
        <v>57</v>
      </c>
      <c r="D5" s="9">
        <v>7</v>
      </c>
      <c r="E5" s="10">
        <v>67.760000000000005</v>
      </c>
      <c r="F5" s="10">
        <f t="shared" ref="F5:F8" si="0">D5*E5</f>
        <v>474.32000000000005</v>
      </c>
      <c r="G5" s="1" t="s">
        <v>36</v>
      </c>
    </row>
    <row r="6" spans="2:7" x14ac:dyDescent="0.3">
      <c r="B6" s="21"/>
      <c r="C6" s="9" t="s">
        <v>55</v>
      </c>
      <c r="D6" s="9">
        <v>2</v>
      </c>
      <c r="E6" s="10">
        <v>332.54</v>
      </c>
      <c r="F6" s="10">
        <f t="shared" si="0"/>
        <v>665.08</v>
      </c>
      <c r="G6" s="1" t="s">
        <v>36</v>
      </c>
    </row>
    <row r="7" spans="2:7" x14ac:dyDescent="0.3">
      <c r="B7" s="21"/>
      <c r="C7" s="20" t="s">
        <v>49</v>
      </c>
      <c r="D7" s="20"/>
      <c r="E7" s="20"/>
      <c r="F7" s="13">
        <f>SUM(F4:F6)</f>
        <v>12139.4</v>
      </c>
      <c r="G7" s="1" t="s">
        <v>36</v>
      </c>
    </row>
    <row r="8" spans="2:7" x14ac:dyDescent="0.3">
      <c r="B8" s="21" t="s">
        <v>40</v>
      </c>
      <c r="C8" s="9" t="s">
        <v>56</v>
      </c>
      <c r="D8" s="9">
        <v>1</v>
      </c>
      <c r="E8" s="10">
        <v>216.59</v>
      </c>
      <c r="F8" s="10">
        <f t="shared" si="0"/>
        <v>216.59</v>
      </c>
    </row>
    <row r="9" spans="2:7" x14ac:dyDescent="0.3">
      <c r="B9" s="21"/>
      <c r="C9" s="20" t="s">
        <v>50</v>
      </c>
      <c r="D9" s="20"/>
      <c r="E9" s="20"/>
      <c r="F9" s="13">
        <f>SUM(F8:F8)</f>
        <v>216.59</v>
      </c>
      <c r="G9" s="1" t="s">
        <v>36</v>
      </c>
    </row>
    <row r="10" spans="2:7" x14ac:dyDescent="0.3">
      <c r="B10" s="21" t="s">
        <v>41</v>
      </c>
      <c r="C10" s="9" t="s">
        <v>55</v>
      </c>
      <c r="D10" s="9">
        <v>1</v>
      </c>
      <c r="E10" s="10">
        <v>332.54</v>
      </c>
      <c r="F10" s="10">
        <f t="shared" ref="F10" si="1">D10*E10</f>
        <v>332.54</v>
      </c>
    </row>
    <row r="11" spans="2:7" x14ac:dyDescent="0.3">
      <c r="B11" s="21"/>
      <c r="C11" s="20" t="s">
        <v>51</v>
      </c>
      <c r="D11" s="20"/>
      <c r="E11" s="20"/>
      <c r="F11" s="13">
        <f>SUM(F10:F10)</f>
        <v>332.54</v>
      </c>
    </row>
    <row r="12" spans="2:7" x14ac:dyDescent="0.3">
      <c r="B12" s="21" t="s">
        <v>42</v>
      </c>
      <c r="C12" s="9" t="s">
        <v>56</v>
      </c>
      <c r="D12" s="9">
        <v>1</v>
      </c>
      <c r="E12" s="10">
        <v>216.59</v>
      </c>
      <c r="F12" s="10">
        <f t="shared" ref="F12" si="2">D12*E12</f>
        <v>216.59</v>
      </c>
    </row>
    <row r="13" spans="2:7" x14ac:dyDescent="0.3">
      <c r="B13" s="21"/>
      <c r="C13" s="20" t="s">
        <v>52</v>
      </c>
      <c r="D13" s="20"/>
      <c r="E13" s="20"/>
      <c r="F13" s="13">
        <f>SUM(F12:F12)</f>
        <v>216.59</v>
      </c>
      <c r="G13" s="1" t="s">
        <v>36</v>
      </c>
    </row>
    <row r="14" spans="2:7" x14ac:dyDescent="0.3">
      <c r="B14" s="21" t="s">
        <v>43</v>
      </c>
      <c r="C14" s="9" t="s">
        <v>57</v>
      </c>
      <c r="D14" s="9">
        <v>1</v>
      </c>
      <c r="E14" s="10">
        <v>67.760000000000005</v>
      </c>
      <c r="F14" s="10">
        <f t="shared" ref="F14:F15" si="3">D14*E14</f>
        <v>67.760000000000005</v>
      </c>
      <c r="G14" s="1" t="s">
        <v>36</v>
      </c>
    </row>
    <row r="15" spans="2:7" x14ac:dyDescent="0.3">
      <c r="B15" s="21"/>
      <c r="C15" s="9" t="s">
        <v>55</v>
      </c>
      <c r="D15" s="9">
        <v>1</v>
      </c>
      <c r="E15" s="10">
        <v>332.54</v>
      </c>
      <c r="F15" s="10">
        <f t="shared" si="3"/>
        <v>332.54</v>
      </c>
    </row>
    <row r="16" spans="2:7" x14ac:dyDescent="0.3">
      <c r="B16" s="21"/>
      <c r="C16" s="20" t="s">
        <v>53</v>
      </c>
      <c r="D16" s="20"/>
      <c r="E16" s="20"/>
      <c r="F16" s="13">
        <f>SUM(F14:F15)</f>
        <v>400.3</v>
      </c>
      <c r="G16" s="1" t="s">
        <v>36</v>
      </c>
    </row>
    <row r="17" spans="2:7" x14ac:dyDescent="0.3">
      <c r="B17" s="21" t="s">
        <v>44</v>
      </c>
      <c r="C17" s="9" t="s">
        <v>55</v>
      </c>
      <c r="D17" s="9">
        <v>1</v>
      </c>
      <c r="E17" s="10">
        <v>332.54</v>
      </c>
      <c r="F17" s="10">
        <f t="shared" ref="F17" si="4">D17*E17</f>
        <v>332.54</v>
      </c>
    </row>
    <row r="18" spans="2:7" x14ac:dyDescent="0.3">
      <c r="B18" s="21"/>
      <c r="C18" s="20" t="s">
        <v>54</v>
      </c>
      <c r="D18" s="20"/>
      <c r="E18" s="20"/>
      <c r="F18" s="13">
        <f>SUM(F17:F17)</f>
        <v>332.54</v>
      </c>
      <c r="G18" s="1" t="s">
        <v>36</v>
      </c>
    </row>
    <row r="19" spans="2:7" x14ac:dyDescent="0.3">
      <c r="B19" s="20" t="s">
        <v>58</v>
      </c>
      <c r="C19" s="20"/>
      <c r="D19" s="20"/>
      <c r="E19" s="20"/>
      <c r="F19" s="13">
        <f>F7+F9+F13+F16+F18</f>
        <v>13305.42</v>
      </c>
    </row>
    <row r="22" spans="2:7" x14ac:dyDescent="0.3">
      <c r="B22" s="20" t="s">
        <v>59</v>
      </c>
      <c r="C22" s="20"/>
      <c r="D22" s="20"/>
      <c r="E22" s="15"/>
      <c r="F22" s="15"/>
    </row>
    <row r="23" spans="2:7" ht="28.8" x14ac:dyDescent="0.3">
      <c r="B23" s="8" t="s">
        <v>45</v>
      </c>
      <c r="C23" s="8" t="s">
        <v>1</v>
      </c>
      <c r="D23" s="14" t="s">
        <v>60</v>
      </c>
      <c r="F23" s="16"/>
      <c r="G23" s="17"/>
    </row>
    <row r="24" spans="2:7" x14ac:dyDescent="0.3">
      <c r="B24" s="21" t="s">
        <v>39</v>
      </c>
      <c r="C24" s="9" t="s">
        <v>62</v>
      </c>
      <c r="D24" s="10">
        <v>770</v>
      </c>
      <c r="F24" s="18"/>
    </row>
    <row r="25" spans="2:7" x14ac:dyDescent="0.3">
      <c r="B25" s="21"/>
      <c r="C25" s="9" t="s">
        <v>61</v>
      </c>
      <c r="D25" s="10">
        <v>300</v>
      </c>
      <c r="F25" s="18"/>
    </row>
    <row r="26" spans="2:7" x14ac:dyDescent="0.3">
      <c r="B26" s="21"/>
      <c r="C26" s="9" t="s">
        <v>64</v>
      </c>
      <c r="D26" s="10">
        <f>6864/12</f>
        <v>572</v>
      </c>
      <c r="F26" s="18"/>
    </row>
    <row r="27" spans="2:7" x14ac:dyDescent="0.3">
      <c r="B27" s="9" t="s">
        <v>40</v>
      </c>
      <c r="C27" s="9" t="s">
        <v>65</v>
      </c>
      <c r="D27" s="10">
        <f>(19933.06-6864*2)/12</f>
        <v>517.08833333333348</v>
      </c>
      <c r="F27" s="18"/>
    </row>
    <row r="28" spans="2:7" x14ac:dyDescent="0.3">
      <c r="B28" s="9" t="s">
        <v>41</v>
      </c>
      <c r="C28" s="9" t="s">
        <v>63</v>
      </c>
      <c r="D28" s="10">
        <v>300</v>
      </c>
      <c r="F28" s="18"/>
    </row>
    <row r="29" spans="2:7" x14ac:dyDescent="0.3">
      <c r="B29" s="9" t="s">
        <v>42</v>
      </c>
      <c r="C29" s="9" t="s">
        <v>68</v>
      </c>
      <c r="D29" s="10">
        <v>-150</v>
      </c>
      <c r="F29" s="18"/>
    </row>
    <row r="30" spans="2:7" x14ac:dyDescent="0.3">
      <c r="B30" s="9" t="s">
        <v>43</v>
      </c>
      <c r="C30" s="9" t="s">
        <v>66</v>
      </c>
      <c r="D30" s="10">
        <v>0</v>
      </c>
      <c r="F30" s="18"/>
    </row>
    <row r="31" spans="2:7" x14ac:dyDescent="0.3">
      <c r="B31" s="9" t="s">
        <v>44</v>
      </c>
      <c r="C31" s="9" t="s">
        <v>68</v>
      </c>
      <c r="D31" s="10">
        <v>150</v>
      </c>
      <c r="F31" s="18"/>
    </row>
    <row r="32" spans="2:7" x14ac:dyDescent="0.3">
      <c r="B32" s="20" t="s">
        <v>67</v>
      </c>
      <c r="C32" s="20"/>
      <c r="D32" s="10">
        <f>SUM(D24:D31)</f>
        <v>2459.0883333333336</v>
      </c>
    </row>
  </sheetData>
  <mergeCells count="17">
    <mergeCell ref="C13:E13"/>
    <mergeCell ref="B32:C32"/>
    <mergeCell ref="B2:F2"/>
    <mergeCell ref="B22:D22"/>
    <mergeCell ref="B10:B11"/>
    <mergeCell ref="C11:E11"/>
    <mergeCell ref="B19:E19"/>
    <mergeCell ref="B24:B26"/>
    <mergeCell ref="C16:E16"/>
    <mergeCell ref="C18:E18"/>
    <mergeCell ref="B8:B9"/>
    <mergeCell ref="B12:B13"/>
    <mergeCell ref="B14:B16"/>
    <mergeCell ref="B17:B18"/>
    <mergeCell ref="C7:E7"/>
    <mergeCell ref="B4:B7"/>
    <mergeCell ref="C9:E9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Viabilitat</vt:lpstr>
      <vt:lpstr>Elecció</vt:lpstr>
      <vt:lpstr>Fases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Bonnin</dc:creator>
  <cp:lastModifiedBy>jnric _</cp:lastModifiedBy>
  <dcterms:created xsi:type="dcterms:W3CDTF">2015-06-05T18:19:34Z</dcterms:created>
  <dcterms:modified xsi:type="dcterms:W3CDTF">2026-05-27T19:18:47Z</dcterms:modified>
</cp:coreProperties>
</file>