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nric\Documents\UOC\TFM\4-Validacio\documentacio\"/>
    </mc:Choice>
  </mc:AlternateContent>
  <xr:revisionPtr revIDLastSave="0" documentId="13_ncr:1_{53A176BB-9259-4CC3-80C7-23E90134F06D}" xr6:coauthVersionLast="47" xr6:coauthVersionMax="47" xr10:uidLastSave="{00000000-0000-0000-0000-000000000000}"/>
  <bookViews>
    <workbookView xWindow="2544" yWindow="360" windowWidth="20496" windowHeight="11880" xr2:uid="{00000000-000D-0000-FFFF-FFFF00000000}"/>
  </bookViews>
  <sheets>
    <sheet name="Tràfic" sheetId="1" r:id="rId1"/>
    <sheet name="Latènci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2" l="1"/>
  <c r="C20" i="2"/>
  <c r="C15" i="2"/>
  <c r="R35" i="1"/>
  <c r="P35" i="1"/>
  <c r="N35" i="1"/>
  <c r="L35" i="1"/>
  <c r="J35" i="1"/>
  <c r="H35" i="1"/>
  <c r="I35" i="1" s="1"/>
  <c r="S37" i="1"/>
  <c r="Q37" i="1"/>
  <c r="O37" i="1"/>
  <c r="M37" i="1"/>
  <c r="K37" i="1"/>
  <c r="I37" i="1"/>
  <c r="S36" i="1"/>
  <c r="Q36" i="1"/>
  <c r="O36" i="1"/>
  <c r="M36" i="1"/>
  <c r="K36" i="1"/>
  <c r="I36" i="1"/>
  <c r="S27" i="1"/>
  <c r="S26" i="1"/>
  <c r="S25" i="1"/>
  <c r="S24" i="1"/>
  <c r="Q27" i="1"/>
  <c r="Q26" i="1"/>
  <c r="Q25" i="1"/>
  <c r="Q24" i="1"/>
  <c r="O27" i="1"/>
  <c r="O26" i="1"/>
  <c r="O25" i="1"/>
  <c r="O24" i="1"/>
  <c r="M27" i="1"/>
  <c r="M26" i="1"/>
  <c r="M25" i="1"/>
  <c r="M24" i="1"/>
  <c r="K27" i="1"/>
  <c r="K26" i="1"/>
  <c r="K25" i="1"/>
  <c r="K24" i="1"/>
  <c r="I24" i="1"/>
  <c r="I25" i="1"/>
  <c r="I26" i="1"/>
  <c r="I27" i="1"/>
  <c r="R28" i="1"/>
  <c r="P28" i="1"/>
  <c r="N28" i="1"/>
  <c r="O28" i="1" s="1"/>
  <c r="L28" i="1"/>
  <c r="M28" i="1" s="1"/>
  <c r="J28" i="1"/>
  <c r="K28" i="1" s="1"/>
  <c r="H28" i="1"/>
  <c r="I28" i="1" s="1"/>
  <c r="I31" i="1"/>
  <c r="K31" i="1"/>
  <c r="M31" i="1"/>
  <c r="O31" i="1"/>
  <c r="Q31" i="1"/>
  <c r="S31" i="1"/>
  <c r="I30" i="1"/>
  <c r="K30" i="1"/>
  <c r="M30" i="1"/>
  <c r="O30" i="1"/>
  <c r="Q30" i="1"/>
  <c r="S30" i="1"/>
  <c r="I29" i="1"/>
  <c r="K29" i="1"/>
  <c r="M29" i="1"/>
  <c r="O29" i="1"/>
  <c r="Q29" i="1"/>
  <c r="S29" i="1"/>
  <c r="K9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32" i="1"/>
  <c r="M33" i="1"/>
  <c r="M34" i="1"/>
  <c r="M35" i="1"/>
  <c r="M6" i="1"/>
  <c r="I22" i="1"/>
  <c r="I23" i="1"/>
  <c r="S23" i="1"/>
  <c r="Q23" i="1"/>
  <c r="O23" i="1"/>
  <c r="K23" i="1"/>
  <c r="S22" i="1"/>
  <c r="Q22" i="1"/>
  <c r="O22" i="1"/>
  <c r="K22" i="1"/>
  <c r="S8" i="1"/>
  <c r="S9" i="1"/>
  <c r="Q8" i="1"/>
  <c r="Q9" i="1"/>
  <c r="O8" i="1"/>
  <c r="O9" i="1"/>
  <c r="K8" i="1"/>
  <c r="I8" i="1"/>
  <c r="I9" i="1"/>
  <c r="S35" i="1"/>
  <c r="Q35" i="1"/>
  <c r="O35" i="1"/>
  <c r="K35" i="1"/>
  <c r="S34" i="1"/>
  <c r="Q34" i="1"/>
  <c r="O34" i="1"/>
  <c r="K34" i="1"/>
  <c r="I34" i="1"/>
  <c r="S33" i="1"/>
  <c r="Q33" i="1"/>
  <c r="O33" i="1"/>
  <c r="K33" i="1"/>
  <c r="I33" i="1"/>
  <c r="S32" i="1"/>
  <c r="Q32" i="1"/>
  <c r="O32" i="1"/>
  <c r="K32" i="1"/>
  <c r="I32" i="1"/>
  <c r="S28" i="1"/>
  <c r="Q28" i="1"/>
  <c r="S21" i="1"/>
  <c r="Q21" i="1"/>
  <c r="O21" i="1"/>
  <c r="K21" i="1"/>
  <c r="I21" i="1"/>
  <c r="S20" i="1"/>
  <c r="Q20" i="1"/>
  <c r="O20" i="1"/>
  <c r="K20" i="1"/>
  <c r="I20" i="1"/>
  <c r="S19" i="1"/>
  <c r="Q19" i="1"/>
  <c r="O19" i="1"/>
  <c r="K19" i="1"/>
  <c r="I19" i="1"/>
  <c r="S18" i="1"/>
  <c r="Q18" i="1"/>
  <c r="O18" i="1"/>
  <c r="K18" i="1"/>
  <c r="I18" i="1"/>
  <c r="S17" i="1"/>
  <c r="Q17" i="1"/>
  <c r="O17" i="1"/>
  <c r="K17" i="1"/>
  <c r="I17" i="1"/>
  <c r="S16" i="1"/>
  <c r="Q16" i="1"/>
  <c r="O16" i="1"/>
  <c r="K16" i="1"/>
  <c r="I16" i="1"/>
  <c r="S7" i="1"/>
  <c r="S10" i="1"/>
  <c r="S11" i="1"/>
  <c r="S12" i="1"/>
  <c r="S13" i="1"/>
  <c r="S14" i="1"/>
  <c r="S15" i="1"/>
  <c r="S6" i="1"/>
  <c r="Q7" i="1"/>
  <c r="Q10" i="1"/>
  <c r="Q11" i="1"/>
  <c r="Q12" i="1"/>
  <c r="Q13" i="1"/>
  <c r="Q14" i="1"/>
  <c r="Q15" i="1"/>
  <c r="Q6" i="1"/>
  <c r="O7" i="1"/>
  <c r="O10" i="1"/>
  <c r="O11" i="1"/>
  <c r="O12" i="1"/>
  <c r="O13" i="1"/>
  <c r="O14" i="1"/>
  <c r="O15" i="1"/>
  <c r="K7" i="1"/>
  <c r="K10" i="1"/>
  <c r="K11" i="1"/>
  <c r="K12" i="1"/>
  <c r="K13" i="1"/>
  <c r="K14" i="1"/>
  <c r="K15" i="1"/>
  <c r="K6" i="1"/>
  <c r="I7" i="1"/>
  <c r="I10" i="1"/>
  <c r="I11" i="1"/>
  <c r="I12" i="1"/>
  <c r="I13" i="1"/>
  <c r="I14" i="1"/>
  <c r="I15" i="1"/>
  <c r="I6" i="1"/>
</calcChain>
</file>

<file path=xl/sharedStrings.xml><?xml version="1.0" encoding="utf-8"?>
<sst xmlns="http://schemas.openxmlformats.org/spreadsheetml/2006/main" count="152" uniqueCount="93">
  <si>
    <t>Interficie</t>
  </si>
  <si>
    <t>Descripcio</t>
  </si>
  <si>
    <t>Setmanal</t>
  </si>
  <si>
    <t>Mensual</t>
  </si>
  <si>
    <t>GE0/6/3</t>
  </si>
  <si>
    <t>Orange-Jazztel</t>
  </si>
  <si>
    <t>Tipus</t>
  </si>
  <si>
    <t>Trànsit Nacional</t>
  </si>
  <si>
    <t>Data</t>
  </si>
  <si>
    <t>Trunk7</t>
  </si>
  <si>
    <t>Trànsit Internacional</t>
  </si>
  <si>
    <t>Trunk0</t>
  </si>
  <si>
    <t>Punt neutre</t>
  </si>
  <si>
    <t>Trunk1</t>
  </si>
  <si>
    <t>Proveidor de serveis</t>
  </si>
  <si>
    <t>Trunk9</t>
  </si>
  <si>
    <t>Trunk2</t>
  </si>
  <si>
    <t>Capacitat (G)</t>
  </si>
  <si>
    <t>Netflix (1)</t>
  </si>
  <si>
    <t>Google (2)</t>
  </si>
  <si>
    <t>Google (1)</t>
  </si>
  <si>
    <t>Espanix</t>
  </si>
  <si>
    <t>Trunk3</t>
  </si>
  <si>
    <t>Netflix (2)</t>
  </si>
  <si>
    <t>Trunk6</t>
  </si>
  <si>
    <t>Meta</t>
  </si>
  <si>
    <t>GE0/2/0</t>
  </si>
  <si>
    <t>Operador</t>
  </si>
  <si>
    <t>GE0/3/2</t>
  </si>
  <si>
    <t>Interfícies (G)</t>
  </si>
  <si>
    <t>10+10</t>
  </si>
  <si>
    <t>GE0/3/3</t>
  </si>
  <si>
    <t>GE0/4/2</t>
  </si>
  <si>
    <t>GE0/5/1.97</t>
  </si>
  <si>
    <t>Trunk5</t>
  </si>
  <si>
    <t>GE0/6/2</t>
  </si>
  <si>
    <t>GE0/7/2</t>
  </si>
  <si>
    <t>GE0/7/4</t>
  </si>
  <si>
    <t>GE0/7/6</t>
  </si>
  <si>
    <t>GE0/6/1</t>
  </si>
  <si>
    <t>GE0/3/0</t>
  </si>
  <si>
    <t>GE0/3/1</t>
  </si>
  <si>
    <t>GE0/5/2</t>
  </si>
  <si>
    <t>GE0/5/3</t>
  </si>
  <si>
    <t>Hurricane (1)</t>
  </si>
  <si>
    <t>Hurricane (2)</t>
  </si>
  <si>
    <t>Lyntia (1)</t>
  </si>
  <si>
    <t>Lyntia (2)</t>
  </si>
  <si>
    <t>Correos Telecom - Agregat</t>
  </si>
  <si>
    <t>Aire Networks - Agregat</t>
  </si>
  <si>
    <t>Lyntia - Agregat</t>
  </si>
  <si>
    <t>Hurricane Agregat</t>
  </si>
  <si>
    <t>Masmovil - OP04-RJT</t>
  </si>
  <si>
    <t>Cablemovil - OP04-RJT</t>
  </si>
  <si>
    <t>Orange - OP04-RJT</t>
  </si>
  <si>
    <t>Avatel - OP03-SST</t>
  </si>
  <si>
    <t>Orange - OP03-SST</t>
  </si>
  <si>
    <t>Avatel - OP05-ALS</t>
  </si>
  <si>
    <t>Avatel - OP01-ADZ</t>
  </si>
  <si>
    <t>Movistar - OP06-EAM</t>
  </si>
  <si>
    <t>Mitjà</t>
  </si>
  <si>
    <t>G</t>
  </si>
  <si>
    <t>%</t>
  </si>
  <si>
    <t>Màxim</t>
  </si>
  <si>
    <t>p95</t>
  </si>
  <si>
    <t>Tràfic de descàrrega</t>
  </si>
  <si>
    <t>GE0/6/2.42</t>
  </si>
  <si>
    <t>GE0/6/2.510</t>
  </si>
  <si>
    <t>GE0/6/2.512</t>
  </si>
  <si>
    <t>Aire Networks - IPTV</t>
  </si>
  <si>
    <t>Aire Networks - OP05-ALS</t>
  </si>
  <si>
    <t>Aire Networks - OP02-INF</t>
  </si>
  <si>
    <t>Serveis + Operador</t>
  </si>
  <si>
    <t>Trunk5.401</t>
  </si>
  <si>
    <t>Trunk5.402</t>
  </si>
  <si>
    <t>Trunk5.403</t>
  </si>
  <si>
    <t>Trunk5.404</t>
  </si>
  <si>
    <t>Lyntia - OP06-EAM</t>
  </si>
  <si>
    <t>Lyntia - OP08-MDN</t>
  </si>
  <si>
    <t>Lyntia - OP07-CST</t>
  </si>
  <si>
    <t>Lyntia - OP09-JFG</t>
  </si>
  <si>
    <t>GE0/6/1.10</t>
  </si>
  <si>
    <t>GE0/6/1.1902</t>
  </si>
  <si>
    <t>Correos Telecom - OP01-ADZ</t>
  </si>
  <si>
    <t>Correos Telecm - OP02-INF</t>
  </si>
  <si>
    <t>Latència [ms]</t>
  </si>
  <si>
    <t>Hurricane</t>
  </si>
  <si>
    <t>Google</t>
  </si>
  <si>
    <t>Neflix</t>
  </si>
  <si>
    <t>Connexió</t>
  </si>
  <si>
    <t>Lyntia (Mitjana)</t>
  </si>
  <si>
    <t>Aire Networks (Mitjana)</t>
  </si>
  <si>
    <t>Correos Telecom (Mitjana)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</si>
</sst>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37"/>
  <sheetViews>
    <sheetView tabSelected="1" workbookViewId="0">
      <selection activeCell="H2" sqref="H2:S2"/>
    </sheetView>
  </sheetViews>
  <sheetFormatPr baseColWidth="10" defaultColWidth="8.88671875" defaultRowHeight="14.4" x14ac:dyDescent="0.3"/>
  <cols>
    <col min="1" max="1" width="8.88671875" style="1"/>
    <col min="2" max="2" width="11" style="1" customWidth="1"/>
    <col min="3" max="3" width="12.33203125" style="1" bestFit="1" customWidth="1"/>
    <col min="4" max="4" width="27.44140625" style="1" customWidth="1"/>
    <col min="5" max="5" width="12.21875" style="1" bestFit="1" customWidth="1"/>
    <col min="6" max="6" width="11.88671875" style="1" bestFit="1" customWidth="1"/>
    <col min="7" max="7" width="21.109375" style="1" customWidth="1"/>
    <col min="8" max="19" width="5.44140625" style="1" customWidth="1"/>
    <col min="20" max="16384" width="8.88671875" style="1"/>
  </cols>
  <sheetData>
    <row r="2" spans="2:19" x14ac:dyDescent="0.3">
      <c r="B2" s="17" t="s">
        <v>8</v>
      </c>
      <c r="C2" s="17" t="s">
        <v>0</v>
      </c>
      <c r="D2" s="17" t="s">
        <v>1</v>
      </c>
      <c r="E2" s="17" t="s">
        <v>29</v>
      </c>
      <c r="F2" s="17" t="s">
        <v>17</v>
      </c>
      <c r="G2" s="17" t="s">
        <v>6</v>
      </c>
      <c r="H2" s="17" t="s">
        <v>65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2:19" x14ac:dyDescent="0.3">
      <c r="B3" s="17"/>
      <c r="C3" s="17"/>
      <c r="D3" s="17"/>
      <c r="E3" s="17"/>
      <c r="F3" s="17"/>
      <c r="G3" s="17"/>
      <c r="H3" s="18" t="s">
        <v>2</v>
      </c>
      <c r="I3" s="20"/>
      <c r="J3" s="20"/>
      <c r="K3" s="20"/>
      <c r="L3" s="20"/>
      <c r="M3" s="19"/>
      <c r="N3" s="17" t="s">
        <v>3</v>
      </c>
      <c r="O3" s="17"/>
      <c r="P3" s="17"/>
      <c r="Q3" s="17"/>
      <c r="R3" s="17"/>
      <c r="S3" s="17"/>
    </row>
    <row r="4" spans="2:19" x14ac:dyDescent="0.3">
      <c r="B4" s="17"/>
      <c r="C4" s="17"/>
      <c r="D4" s="17"/>
      <c r="E4" s="17"/>
      <c r="F4" s="17"/>
      <c r="G4" s="17"/>
      <c r="H4" s="18" t="s">
        <v>60</v>
      </c>
      <c r="I4" s="19"/>
      <c r="J4" s="18" t="s">
        <v>63</v>
      </c>
      <c r="K4" s="19"/>
      <c r="L4" s="18" t="s">
        <v>64</v>
      </c>
      <c r="M4" s="19"/>
      <c r="N4" s="18" t="s">
        <v>60</v>
      </c>
      <c r="O4" s="19"/>
      <c r="P4" s="18" t="s">
        <v>63</v>
      </c>
      <c r="Q4" s="19"/>
      <c r="R4" s="18" t="s">
        <v>64</v>
      </c>
      <c r="S4" s="19"/>
    </row>
    <row r="5" spans="2:19" x14ac:dyDescent="0.3">
      <c r="B5" s="17"/>
      <c r="C5" s="17"/>
      <c r="D5" s="17"/>
      <c r="E5" s="17"/>
      <c r="F5" s="17"/>
      <c r="G5" s="17"/>
      <c r="H5" s="2" t="s">
        <v>61</v>
      </c>
      <c r="I5" s="2" t="s">
        <v>62</v>
      </c>
      <c r="J5" s="2" t="s">
        <v>61</v>
      </c>
      <c r="K5" s="2" t="s">
        <v>62</v>
      </c>
      <c r="L5" s="2" t="s">
        <v>61</v>
      </c>
      <c r="M5" s="2" t="s">
        <v>62</v>
      </c>
      <c r="N5" s="2" t="s">
        <v>61</v>
      </c>
      <c r="O5" s="2" t="s">
        <v>62</v>
      </c>
      <c r="P5" s="2" t="s">
        <v>61</v>
      </c>
      <c r="Q5" s="2" t="s">
        <v>62</v>
      </c>
      <c r="R5" s="2" t="s">
        <v>61</v>
      </c>
      <c r="S5" s="2" t="s">
        <v>62</v>
      </c>
    </row>
    <row r="6" spans="2:19" x14ac:dyDescent="0.3">
      <c r="B6" s="7">
        <v>46139</v>
      </c>
      <c r="C6" s="5" t="s">
        <v>4</v>
      </c>
      <c r="D6" s="5" t="s">
        <v>5</v>
      </c>
      <c r="E6" s="5">
        <v>10</v>
      </c>
      <c r="F6" s="5">
        <v>10</v>
      </c>
      <c r="G6" s="5" t="s">
        <v>7</v>
      </c>
      <c r="H6" s="8">
        <v>2.5</v>
      </c>
      <c r="I6" s="4">
        <f>H6/F6</f>
        <v>0.25</v>
      </c>
      <c r="J6" s="8">
        <v>7.42</v>
      </c>
      <c r="K6" s="4">
        <f>J6/F6</f>
        <v>0.74199999999999999</v>
      </c>
      <c r="L6" s="8">
        <v>5.54</v>
      </c>
      <c r="M6" s="4">
        <f>L6/F6</f>
        <v>0.55400000000000005</v>
      </c>
      <c r="N6" s="9">
        <v>2.66</v>
      </c>
      <c r="O6" s="4">
        <v>7.8100000000000003E-2</v>
      </c>
      <c r="P6" s="9">
        <v>7.81</v>
      </c>
      <c r="Q6" s="4">
        <f t="shared" ref="Q6:Q23" si="0">P6/F6</f>
        <v>0.78099999999999992</v>
      </c>
      <c r="R6" s="9">
        <v>5.64</v>
      </c>
      <c r="S6" s="4">
        <f t="shared" ref="S6:S23" si="1">R6/F6</f>
        <v>0.56399999999999995</v>
      </c>
    </row>
    <row r="7" spans="2:19" x14ac:dyDescent="0.3">
      <c r="B7" s="7">
        <v>46139</v>
      </c>
      <c r="C7" s="5" t="s">
        <v>9</v>
      </c>
      <c r="D7" s="5" t="s">
        <v>51</v>
      </c>
      <c r="E7" s="5" t="s">
        <v>30</v>
      </c>
      <c r="F7" s="5">
        <v>20</v>
      </c>
      <c r="G7" s="5" t="s">
        <v>10</v>
      </c>
      <c r="H7" s="8">
        <v>4.97</v>
      </c>
      <c r="I7" s="4">
        <f t="shared" ref="I7:I35" si="2">H7/F7</f>
        <v>0.2485</v>
      </c>
      <c r="J7" s="8">
        <v>15</v>
      </c>
      <c r="K7" s="4">
        <f t="shared" ref="K7:K35" si="3">J7/F7</f>
        <v>0.75</v>
      </c>
      <c r="L7" s="8">
        <v>11.4</v>
      </c>
      <c r="M7" s="4">
        <f t="shared" ref="M7:M35" si="4">L7/F7</f>
        <v>0.57000000000000006</v>
      </c>
      <c r="N7" s="9">
        <v>5.01</v>
      </c>
      <c r="O7" s="4">
        <f t="shared" ref="O7:O23" si="5">N7/F7</f>
        <v>0.2505</v>
      </c>
      <c r="P7" s="9">
        <v>14.26</v>
      </c>
      <c r="Q7" s="4">
        <f t="shared" si="0"/>
        <v>0.71299999999999997</v>
      </c>
      <c r="R7" s="9">
        <v>11.06</v>
      </c>
      <c r="S7" s="4">
        <f t="shared" si="1"/>
        <v>0.55300000000000005</v>
      </c>
    </row>
    <row r="8" spans="2:19" x14ac:dyDescent="0.3">
      <c r="B8" s="10">
        <v>46139</v>
      </c>
      <c r="C8" s="6" t="s">
        <v>40</v>
      </c>
      <c r="D8" s="6" t="s">
        <v>44</v>
      </c>
      <c r="E8" s="6">
        <v>10</v>
      </c>
      <c r="F8" s="6">
        <v>10</v>
      </c>
      <c r="G8" s="6" t="s">
        <v>10</v>
      </c>
      <c r="H8" s="8">
        <v>2.4900000000000002</v>
      </c>
      <c r="I8" s="4">
        <f t="shared" si="2"/>
        <v>0.24900000000000003</v>
      </c>
      <c r="J8" s="8">
        <v>7.49</v>
      </c>
      <c r="K8" s="4">
        <f t="shared" si="3"/>
        <v>0.749</v>
      </c>
      <c r="L8" s="8">
        <v>5.68</v>
      </c>
      <c r="M8" s="4">
        <f t="shared" si="4"/>
        <v>0.56799999999999995</v>
      </c>
      <c r="N8" s="9">
        <v>2.5099999999999998</v>
      </c>
      <c r="O8" s="4">
        <f t="shared" si="5"/>
        <v>0.251</v>
      </c>
      <c r="P8" s="9">
        <v>7.13</v>
      </c>
      <c r="Q8" s="4">
        <f t="shared" si="0"/>
        <v>0.71299999999999997</v>
      </c>
      <c r="R8" s="9">
        <v>5.57</v>
      </c>
      <c r="S8" s="4">
        <f t="shared" si="1"/>
        <v>0.55700000000000005</v>
      </c>
    </row>
    <row r="9" spans="2:19" x14ac:dyDescent="0.3">
      <c r="B9" s="10">
        <v>46139</v>
      </c>
      <c r="C9" s="6" t="s">
        <v>41</v>
      </c>
      <c r="D9" s="6" t="s">
        <v>45</v>
      </c>
      <c r="E9" s="6">
        <v>10</v>
      </c>
      <c r="F9" s="6">
        <v>10</v>
      </c>
      <c r="G9" s="6" t="s">
        <v>10</v>
      </c>
      <c r="H9" s="8">
        <v>2.48</v>
      </c>
      <c r="I9" s="4">
        <f t="shared" si="2"/>
        <v>0.248</v>
      </c>
      <c r="J9" s="8">
        <v>7.51</v>
      </c>
      <c r="K9" s="4">
        <f t="shared" si="3"/>
        <v>0.751</v>
      </c>
      <c r="L9" s="8">
        <v>5.64</v>
      </c>
      <c r="M9" s="4">
        <f t="shared" si="4"/>
        <v>0.56399999999999995</v>
      </c>
      <c r="N9" s="9">
        <v>2.5</v>
      </c>
      <c r="O9" s="4">
        <f t="shared" si="5"/>
        <v>0.25</v>
      </c>
      <c r="P9" s="9">
        <v>7.13</v>
      </c>
      <c r="Q9" s="4">
        <f t="shared" si="0"/>
        <v>0.71299999999999997</v>
      </c>
      <c r="R9" s="9">
        <v>5.51</v>
      </c>
      <c r="S9" s="4">
        <f t="shared" si="1"/>
        <v>0.55099999999999993</v>
      </c>
    </row>
    <row r="10" spans="2:19" x14ac:dyDescent="0.3">
      <c r="B10" s="7">
        <v>46139</v>
      </c>
      <c r="C10" s="5" t="s">
        <v>11</v>
      </c>
      <c r="D10" s="5" t="s">
        <v>21</v>
      </c>
      <c r="E10" s="5">
        <v>10</v>
      </c>
      <c r="F10" s="5">
        <v>10</v>
      </c>
      <c r="G10" s="5" t="s">
        <v>12</v>
      </c>
      <c r="H10" s="8">
        <v>3.44</v>
      </c>
      <c r="I10" s="4">
        <f t="shared" si="2"/>
        <v>0.34399999999999997</v>
      </c>
      <c r="J10" s="8">
        <v>8.15</v>
      </c>
      <c r="K10" s="3">
        <f t="shared" si="3"/>
        <v>0.81500000000000006</v>
      </c>
      <c r="L10" s="8">
        <v>6.91</v>
      </c>
      <c r="M10" s="4">
        <f t="shared" si="4"/>
        <v>0.69100000000000006</v>
      </c>
      <c r="N10" s="9">
        <v>3.29</v>
      </c>
      <c r="O10" s="4">
        <f t="shared" si="5"/>
        <v>0.32900000000000001</v>
      </c>
      <c r="P10" s="9">
        <v>7.29</v>
      </c>
      <c r="Q10" s="4">
        <f t="shared" si="0"/>
        <v>0.72899999999999998</v>
      </c>
      <c r="R10" s="9">
        <v>5.98</v>
      </c>
      <c r="S10" s="4">
        <f t="shared" si="1"/>
        <v>0.59800000000000009</v>
      </c>
    </row>
    <row r="11" spans="2:19" x14ac:dyDescent="0.3">
      <c r="B11" s="7">
        <v>46139</v>
      </c>
      <c r="C11" s="5" t="s">
        <v>13</v>
      </c>
      <c r="D11" s="5" t="s">
        <v>20</v>
      </c>
      <c r="E11" s="5">
        <v>10</v>
      </c>
      <c r="F11" s="5">
        <v>10</v>
      </c>
      <c r="G11" s="5" t="s">
        <v>14</v>
      </c>
      <c r="H11" s="8">
        <v>1.52</v>
      </c>
      <c r="I11" s="4">
        <f t="shared" si="2"/>
        <v>0.152</v>
      </c>
      <c r="J11" s="8">
        <v>3.9</v>
      </c>
      <c r="K11" s="4">
        <f t="shared" si="3"/>
        <v>0.39</v>
      </c>
      <c r="L11" s="8">
        <v>3.09</v>
      </c>
      <c r="M11" s="4">
        <f t="shared" si="4"/>
        <v>0.309</v>
      </c>
      <c r="N11" s="9">
        <v>1.75</v>
      </c>
      <c r="O11" s="4">
        <f t="shared" si="5"/>
        <v>0.17499999999999999</v>
      </c>
      <c r="P11" s="9">
        <v>4.5999999999999996</v>
      </c>
      <c r="Q11" s="4">
        <f t="shared" si="0"/>
        <v>0.45999999999999996</v>
      </c>
      <c r="R11" s="9">
        <v>3.47</v>
      </c>
      <c r="S11" s="4">
        <f t="shared" si="1"/>
        <v>0.34700000000000003</v>
      </c>
    </row>
    <row r="12" spans="2:19" x14ac:dyDescent="0.3">
      <c r="B12" s="7">
        <v>46139</v>
      </c>
      <c r="C12" s="5" t="s">
        <v>15</v>
      </c>
      <c r="D12" s="5" t="s">
        <v>19</v>
      </c>
      <c r="E12" s="5">
        <v>10</v>
      </c>
      <c r="F12" s="5">
        <v>10</v>
      </c>
      <c r="G12" s="5" t="s">
        <v>14</v>
      </c>
      <c r="H12" s="8">
        <v>1.32</v>
      </c>
      <c r="I12" s="4">
        <f t="shared" si="2"/>
        <v>0.13200000000000001</v>
      </c>
      <c r="J12" s="8">
        <v>2.83</v>
      </c>
      <c r="K12" s="4">
        <f t="shared" si="3"/>
        <v>0.28300000000000003</v>
      </c>
      <c r="L12" s="8">
        <v>2.44</v>
      </c>
      <c r="M12" s="4">
        <f t="shared" si="4"/>
        <v>0.24399999999999999</v>
      </c>
      <c r="N12" s="9">
        <v>1.34</v>
      </c>
      <c r="O12" s="4">
        <f t="shared" si="5"/>
        <v>0.13400000000000001</v>
      </c>
      <c r="P12" s="9">
        <v>2.75</v>
      </c>
      <c r="Q12" s="4">
        <f t="shared" si="0"/>
        <v>0.27500000000000002</v>
      </c>
      <c r="R12" s="9">
        <v>2.2999999999999998</v>
      </c>
      <c r="S12" s="4">
        <f t="shared" si="1"/>
        <v>0.22999999999999998</v>
      </c>
    </row>
    <row r="13" spans="2:19" x14ac:dyDescent="0.3">
      <c r="B13" s="7">
        <v>46139</v>
      </c>
      <c r="C13" s="5" t="s">
        <v>16</v>
      </c>
      <c r="D13" s="5" t="s">
        <v>18</v>
      </c>
      <c r="E13" s="5">
        <v>10</v>
      </c>
      <c r="F13" s="5">
        <v>10</v>
      </c>
      <c r="G13" s="5" t="s">
        <v>14</v>
      </c>
      <c r="H13" s="8">
        <v>0.87</v>
      </c>
      <c r="I13" s="4">
        <f t="shared" si="2"/>
        <v>8.6999999999999994E-2</v>
      </c>
      <c r="J13" s="8">
        <v>3.03</v>
      </c>
      <c r="K13" s="4">
        <f t="shared" si="3"/>
        <v>0.30299999999999999</v>
      </c>
      <c r="L13" s="8">
        <v>2.3199999999999998</v>
      </c>
      <c r="M13" s="4">
        <f t="shared" si="4"/>
        <v>0.23199999999999998</v>
      </c>
      <c r="N13" s="9">
        <v>0.9</v>
      </c>
      <c r="O13" s="4">
        <f t="shared" si="5"/>
        <v>0.09</v>
      </c>
      <c r="P13" s="9">
        <v>3.23</v>
      </c>
      <c r="Q13" s="4">
        <f t="shared" si="0"/>
        <v>0.32300000000000001</v>
      </c>
      <c r="R13" s="9">
        <v>2.2999999999999998</v>
      </c>
      <c r="S13" s="4">
        <f t="shared" si="1"/>
        <v>0.22999999999999998</v>
      </c>
    </row>
    <row r="14" spans="2:19" x14ac:dyDescent="0.3">
      <c r="B14" s="7">
        <v>46139</v>
      </c>
      <c r="C14" s="5" t="s">
        <v>22</v>
      </c>
      <c r="D14" s="5" t="s">
        <v>23</v>
      </c>
      <c r="E14" s="5">
        <v>10</v>
      </c>
      <c r="F14" s="5">
        <v>10</v>
      </c>
      <c r="G14" s="5" t="s">
        <v>14</v>
      </c>
      <c r="H14" s="8">
        <v>0.88</v>
      </c>
      <c r="I14" s="4">
        <f t="shared" si="2"/>
        <v>8.7999999999999995E-2</v>
      </c>
      <c r="J14" s="8">
        <v>3.04</v>
      </c>
      <c r="K14" s="4">
        <f t="shared" si="3"/>
        <v>0.30399999999999999</v>
      </c>
      <c r="L14" s="8">
        <v>2.46</v>
      </c>
      <c r="M14" s="4">
        <f t="shared" si="4"/>
        <v>0.246</v>
      </c>
      <c r="N14" s="9">
        <v>0.91</v>
      </c>
      <c r="O14" s="4">
        <f t="shared" si="5"/>
        <v>9.0999999999999998E-2</v>
      </c>
      <c r="P14" s="9">
        <v>3.04</v>
      </c>
      <c r="Q14" s="4">
        <f t="shared" si="0"/>
        <v>0.30399999999999999</v>
      </c>
      <c r="R14" s="9">
        <v>2.3199999999999998</v>
      </c>
      <c r="S14" s="4">
        <f t="shared" si="1"/>
        <v>0.23199999999999998</v>
      </c>
    </row>
    <row r="15" spans="2:19" x14ac:dyDescent="0.3">
      <c r="B15" s="7">
        <v>46139</v>
      </c>
      <c r="C15" s="5" t="s">
        <v>24</v>
      </c>
      <c r="D15" s="5" t="s">
        <v>25</v>
      </c>
      <c r="E15" s="5">
        <v>10</v>
      </c>
      <c r="F15" s="5">
        <v>10</v>
      </c>
      <c r="G15" s="5" t="s">
        <v>14</v>
      </c>
      <c r="H15" s="8">
        <v>3.33</v>
      </c>
      <c r="I15" s="4">
        <f t="shared" si="2"/>
        <v>0.33300000000000002</v>
      </c>
      <c r="J15" s="8">
        <v>8.18</v>
      </c>
      <c r="K15" s="3">
        <f t="shared" si="3"/>
        <v>0.81799999999999995</v>
      </c>
      <c r="L15" s="8">
        <v>6.71</v>
      </c>
      <c r="M15" s="4">
        <f t="shared" si="4"/>
        <v>0.67100000000000004</v>
      </c>
      <c r="N15" s="9">
        <v>3.23</v>
      </c>
      <c r="O15" s="4">
        <f t="shared" si="5"/>
        <v>0.32300000000000001</v>
      </c>
      <c r="P15" s="9">
        <v>7.76</v>
      </c>
      <c r="Q15" s="4">
        <f t="shared" si="0"/>
        <v>0.77600000000000002</v>
      </c>
      <c r="R15" s="9">
        <v>6.56</v>
      </c>
      <c r="S15" s="4">
        <f t="shared" si="1"/>
        <v>0.65599999999999992</v>
      </c>
    </row>
    <row r="16" spans="2:19" x14ac:dyDescent="0.3">
      <c r="B16" s="7">
        <v>46139</v>
      </c>
      <c r="C16" s="5" t="s">
        <v>26</v>
      </c>
      <c r="D16" s="5" t="s">
        <v>55</v>
      </c>
      <c r="E16" s="5">
        <v>10</v>
      </c>
      <c r="F16" s="5">
        <v>10</v>
      </c>
      <c r="G16" s="5" t="s">
        <v>27</v>
      </c>
      <c r="H16" s="8">
        <v>2.31</v>
      </c>
      <c r="I16" s="11">
        <f t="shared" si="2"/>
        <v>0.23100000000000001</v>
      </c>
      <c r="J16" s="8">
        <v>5.69</v>
      </c>
      <c r="K16" s="4">
        <f t="shared" si="3"/>
        <v>0.56900000000000006</v>
      </c>
      <c r="L16" s="8">
        <v>4.4800000000000004</v>
      </c>
      <c r="M16" s="4">
        <f t="shared" si="4"/>
        <v>0.44800000000000006</v>
      </c>
      <c r="N16" s="9">
        <v>2.2599999999999998</v>
      </c>
      <c r="O16" s="4">
        <f t="shared" si="5"/>
        <v>0.22599999999999998</v>
      </c>
      <c r="P16" s="9">
        <v>4.88</v>
      </c>
      <c r="Q16" s="4">
        <f t="shared" si="0"/>
        <v>0.48799999999999999</v>
      </c>
      <c r="R16" s="9">
        <v>4.3</v>
      </c>
      <c r="S16" s="4">
        <f t="shared" si="1"/>
        <v>0.43</v>
      </c>
    </row>
    <row r="17" spans="2:19" x14ac:dyDescent="0.3">
      <c r="B17" s="7">
        <v>46139</v>
      </c>
      <c r="C17" s="5" t="s">
        <v>28</v>
      </c>
      <c r="D17" s="5" t="s">
        <v>56</v>
      </c>
      <c r="E17" s="5">
        <v>10</v>
      </c>
      <c r="F17" s="5">
        <v>10</v>
      </c>
      <c r="G17" s="5" t="s">
        <v>27</v>
      </c>
      <c r="H17" s="8">
        <v>2.0299999999999998</v>
      </c>
      <c r="I17" s="4">
        <f t="shared" si="2"/>
        <v>0.20299999999999999</v>
      </c>
      <c r="J17" s="8">
        <v>4.76</v>
      </c>
      <c r="K17" s="4">
        <f t="shared" si="3"/>
        <v>0.47599999999999998</v>
      </c>
      <c r="L17" s="8">
        <v>4</v>
      </c>
      <c r="M17" s="4">
        <f t="shared" si="4"/>
        <v>0.4</v>
      </c>
      <c r="N17" s="9">
        <v>2.08</v>
      </c>
      <c r="O17" s="4">
        <f t="shared" si="5"/>
        <v>0.20800000000000002</v>
      </c>
      <c r="P17" s="9">
        <v>5.46</v>
      </c>
      <c r="Q17" s="4">
        <f t="shared" si="0"/>
        <v>0.54600000000000004</v>
      </c>
      <c r="R17" s="9">
        <v>4.0599999999999996</v>
      </c>
      <c r="S17" s="4">
        <f t="shared" si="1"/>
        <v>0.40599999999999997</v>
      </c>
    </row>
    <row r="18" spans="2:19" x14ac:dyDescent="0.3">
      <c r="B18" s="7">
        <v>46139</v>
      </c>
      <c r="C18" s="5" t="s">
        <v>31</v>
      </c>
      <c r="D18" s="5" t="s">
        <v>54</v>
      </c>
      <c r="E18" s="5">
        <v>10</v>
      </c>
      <c r="F18" s="5">
        <v>10</v>
      </c>
      <c r="G18" s="5" t="s">
        <v>27</v>
      </c>
      <c r="H18" s="8">
        <v>2.79</v>
      </c>
      <c r="I18" s="4">
        <f t="shared" si="2"/>
        <v>0.27900000000000003</v>
      </c>
      <c r="J18" s="8">
        <v>6.38</v>
      </c>
      <c r="K18" s="4">
        <f t="shared" si="3"/>
        <v>0.63800000000000001</v>
      </c>
      <c r="L18" s="8">
        <v>5.46</v>
      </c>
      <c r="M18" s="4">
        <f t="shared" si="4"/>
        <v>0.54600000000000004</v>
      </c>
      <c r="N18" s="9">
        <v>2.8</v>
      </c>
      <c r="O18" s="4">
        <f t="shared" si="5"/>
        <v>0.27999999999999997</v>
      </c>
      <c r="P18" s="9">
        <v>6.81</v>
      </c>
      <c r="Q18" s="4">
        <f t="shared" si="0"/>
        <v>0.68099999999999994</v>
      </c>
      <c r="R18" s="9">
        <v>5.27</v>
      </c>
      <c r="S18" s="4">
        <f t="shared" si="1"/>
        <v>0.52699999999999991</v>
      </c>
    </row>
    <row r="19" spans="2:19" x14ac:dyDescent="0.3">
      <c r="B19" s="7">
        <v>46139</v>
      </c>
      <c r="C19" s="5" t="s">
        <v>32</v>
      </c>
      <c r="D19" s="5" t="s">
        <v>57</v>
      </c>
      <c r="E19" s="5">
        <v>10</v>
      </c>
      <c r="F19" s="5">
        <v>10</v>
      </c>
      <c r="G19" s="5" t="s">
        <v>27</v>
      </c>
      <c r="H19" s="8">
        <v>0.37</v>
      </c>
      <c r="I19" s="4">
        <f t="shared" si="2"/>
        <v>3.6999999999999998E-2</v>
      </c>
      <c r="J19" s="8">
        <v>1.04</v>
      </c>
      <c r="K19" s="4">
        <f t="shared" si="3"/>
        <v>0.10400000000000001</v>
      </c>
      <c r="L19" s="8">
        <v>0.82</v>
      </c>
      <c r="M19" s="4">
        <f t="shared" si="4"/>
        <v>8.199999999999999E-2</v>
      </c>
      <c r="N19" s="9">
        <v>0.38</v>
      </c>
      <c r="O19" s="4">
        <f t="shared" si="5"/>
        <v>3.7999999999999999E-2</v>
      </c>
      <c r="P19" s="9">
        <v>0.96</v>
      </c>
      <c r="Q19" s="4">
        <f t="shared" si="0"/>
        <v>9.6000000000000002E-2</v>
      </c>
      <c r="R19" s="9">
        <v>0.74</v>
      </c>
      <c r="S19" s="4">
        <f t="shared" si="1"/>
        <v>7.3999999999999996E-2</v>
      </c>
    </row>
    <row r="20" spans="2:19" x14ac:dyDescent="0.3">
      <c r="B20" s="7">
        <v>46139</v>
      </c>
      <c r="C20" s="5" t="s">
        <v>33</v>
      </c>
      <c r="D20" s="5" t="s">
        <v>52</v>
      </c>
      <c r="E20" s="5">
        <v>10</v>
      </c>
      <c r="F20" s="5">
        <v>10</v>
      </c>
      <c r="G20" s="5" t="s">
        <v>27</v>
      </c>
      <c r="H20" s="8">
        <v>3.34</v>
      </c>
      <c r="I20" s="4">
        <f t="shared" si="2"/>
        <v>0.33399999999999996</v>
      </c>
      <c r="J20" s="8">
        <v>7.37</v>
      </c>
      <c r="K20" s="4">
        <f t="shared" si="3"/>
        <v>0.73699999999999999</v>
      </c>
      <c r="L20" s="8">
        <v>6.61</v>
      </c>
      <c r="M20" s="4">
        <f t="shared" si="4"/>
        <v>0.66100000000000003</v>
      </c>
      <c r="N20" s="9">
        <v>3.33</v>
      </c>
      <c r="O20" s="4">
        <f t="shared" si="5"/>
        <v>0.33300000000000002</v>
      </c>
      <c r="P20" s="9">
        <v>7.38</v>
      </c>
      <c r="Q20" s="4">
        <f t="shared" si="0"/>
        <v>0.73799999999999999</v>
      </c>
      <c r="R20" s="9">
        <v>6.31</v>
      </c>
      <c r="S20" s="4">
        <f t="shared" si="1"/>
        <v>0.63100000000000001</v>
      </c>
    </row>
    <row r="21" spans="2:19" x14ac:dyDescent="0.3">
      <c r="B21" s="7">
        <v>46139</v>
      </c>
      <c r="C21" s="5" t="s">
        <v>34</v>
      </c>
      <c r="D21" s="5" t="s">
        <v>50</v>
      </c>
      <c r="E21" s="5" t="s">
        <v>30</v>
      </c>
      <c r="F21" s="5">
        <v>20</v>
      </c>
      <c r="G21" s="5" t="s">
        <v>27</v>
      </c>
      <c r="H21" s="8">
        <v>6.33</v>
      </c>
      <c r="I21" s="4">
        <f t="shared" si="2"/>
        <v>0.3165</v>
      </c>
      <c r="J21" s="8">
        <v>16.28</v>
      </c>
      <c r="K21" s="3">
        <f t="shared" si="3"/>
        <v>0.81400000000000006</v>
      </c>
      <c r="L21" s="8">
        <v>12.64</v>
      </c>
      <c r="M21" s="4">
        <f t="shared" si="4"/>
        <v>0.63200000000000001</v>
      </c>
      <c r="N21" s="9">
        <v>6.44</v>
      </c>
      <c r="O21" s="4">
        <f t="shared" si="5"/>
        <v>0.32200000000000001</v>
      </c>
      <c r="P21" s="9">
        <v>14.79</v>
      </c>
      <c r="Q21" s="4">
        <f t="shared" si="0"/>
        <v>0.73949999999999994</v>
      </c>
      <c r="R21" s="9">
        <v>12.41</v>
      </c>
      <c r="S21" s="4">
        <f t="shared" si="1"/>
        <v>0.62050000000000005</v>
      </c>
    </row>
    <row r="22" spans="2:19" x14ac:dyDescent="0.3">
      <c r="B22" s="10">
        <v>46139</v>
      </c>
      <c r="C22" s="6" t="s">
        <v>42</v>
      </c>
      <c r="D22" s="6" t="s">
        <v>46</v>
      </c>
      <c r="E22" s="6">
        <v>10</v>
      </c>
      <c r="F22" s="6">
        <v>10</v>
      </c>
      <c r="G22" s="6" t="s">
        <v>27</v>
      </c>
      <c r="H22" s="8">
        <v>3.15</v>
      </c>
      <c r="I22" s="4">
        <f t="shared" si="2"/>
        <v>0.315</v>
      </c>
      <c r="J22" s="8">
        <v>8.11</v>
      </c>
      <c r="K22" s="3">
        <f t="shared" si="3"/>
        <v>0.81099999999999994</v>
      </c>
      <c r="L22" s="8">
        <v>6.4</v>
      </c>
      <c r="M22" s="4">
        <f t="shared" si="4"/>
        <v>0.64</v>
      </c>
      <c r="N22" s="9">
        <v>3.2</v>
      </c>
      <c r="O22" s="4">
        <f t="shared" si="5"/>
        <v>0.32</v>
      </c>
      <c r="P22" s="9">
        <v>7.37</v>
      </c>
      <c r="Q22" s="4">
        <f t="shared" si="0"/>
        <v>0.73699999999999999</v>
      </c>
      <c r="R22" s="9">
        <v>6.19</v>
      </c>
      <c r="S22" s="4">
        <f t="shared" si="1"/>
        <v>0.61899999999999999</v>
      </c>
    </row>
    <row r="23" spans="2:19" x14ac:dyDescent="0.3">
      <c r="B23" s="10">
        <v>46139</v>
      </c>
      <c r="C23" s="6" t="s">
        <v>43</v>
      </c>
      <c r="D23" s="6" t="s">
        <v>47</v>
      </c>
      <c r="E23" s="6">
        <v>10</v>
      </c>
      <c r="F23" s="6">
        <v>10</v>
      </c>
      <c r="G23" s="6" t="s">
        <v>27</v>
      </c>
      <c r="H23" s="8">
        <v>3.18</v>
      </c>
      <c r="I23" s="4">
        <f t="shared" si="2"/>
        <v>0.318</v>
      </c>
      <c r="J23" s="8">
        <v>8.17</v>
      </c>
      <c r="K23" s="3">
        <f t="shared" si="3"/>
        <v>0.81699999999999995</v>
      </c>
      <c r="L23" s="8">
        <v>6.31</v>
      </c>
      <c r="M23" s="4">
        <f t="shared" si="4"/>
        <v>0.63100000000000001</v>
      </c>
      <c r="N23" s="9">
        <v>3.23</v>
      </c>
      <c r="O23" s="4">
        <f t="shared" si="5"/>
        <v>0.32300000000000001</v>
      </c>
      <c r="P23" s="9">
        <v>7.43</v>
      </c>
      <c r="Q23" s="4">
        <f t="shared" si="0"/>
        <v>0.74299999999999999</v>
      </c>
      <c r="R23" s="9">
        <v>6.22</v>
      </c>
      <c r="S23" s="4">
        <f t="shared" si="1"/>
        <v>0.622</v>
      </c>
    </row>
    <row r="24" spans="2:19" x14ac:dyDescent="0.3">
      <c r="B24" s="12">
        <v>46139</v>
      </c>
      <c r="C24" s="13" t="s">
        <v>73</v>
      </c>
      <c r="D24" s="13" t="s">
        <v>80</v>
      </c>
      <c r="E24" s="13"/>
      <c r="F24" s="13">
        <v>1</v>
      </c>
      <c r="G24" s="13" t="s">
        <v>27</v>
      </c>
      <c r="H24" s="8">
        <v>0.01</v>
      </c>
      <c r="I24" s="4">
        <f t="shared" si="2"/>
        <v>0.01</v>
      </c>
      <c r="J24" s="8">
        <v>0.05</v>
      </c>
      <c r="K24" s="4">
        <f t="shared" si="3"/>
        <v>0.05</v>
      </c>
      <c r="L24" s="8">
        <v>0.03</v>
      </c>
      <c r="M24" s="4">
        <f t="shared" si="4"/>
        <v>0.03</v>
      </c>
      <c r="N24" s="9">
        <v>0.01</v>
      </c>
      <c r="O24" s="4">
        <f t="shared" ref="O24:O27" si="6">N24/F24</f>
        <v>0.01</v>
      </c>
      <c r="P24" s="9">
        <v>0.04</v>
      </c>
      <c r="Q24" s="4">
        <f t="shared" ref="Q24:Q27" si="7">P24/F24</f>
        <v>0.04</v>
      </c>
      <c r="R24" s="9">
        <v>0.03</v>
      </c>
      <c r="S24" s="4">
        <f t="shared" ref="S24:S27" si="8">R24/F24</f>
        <v>0.03</v>
      </c>
    </row>
    <row r="25" spans="2:19" x14ac:dyDescent="0.3">
      <c r="B25" s="12">
        <v>46139</v>
      </c>
      <c r="C25" s="13" t="s">
        <v>74</v>
      </c>
      <c r="D25" s="13" t="s">
        <v>77</v>
      </c>
      <c r="E25" s="13"/>
      <c r="F25" s="13">
        <v>10</v>
      </c>
      <c r="G25" s="13" t="s">
        <v>27</v>
      </c>
      <c r="H25" s="8">
        <v>2.48</v>
      </c>
      <c r="I25" s="4">
        <f t="shared" si="2"/>
        <v>0.248</v>
      </c>
      <c r="J25" s="8">
        <v>6.68</v>
      </c>
      <c r="K25" s="4">
        <f t="shared" si="3"/>
        <v>0.66799999999999993</v>
      </c>
      <c r="L25" s="8">
        <v>5.0599999999999996</v>
      </c>
      <c r="M25" s="4">
        <f t="shared" si="4"/>
        <v>0.50600000000000001</v>
      </c>
      <c r="N25" s="9">
        <v>2.57</v>
      </c>
      <c r="O25" s="4">
        <f t="shared" si="6"/>
        <v>0.25700000000000001</v>
      </c>
      <c r="P25" s="9">
        <v>6.29</v>
      </c>
      <c r="Q25" s="4">
        <f t="shared" si="7"/>
        <v>0.629</v>
      </c>
      <c r="R25" s="9">
        <v>5.09</v>
      </c>
      <c r="S25" s="4">
        <f t="shared" si="8"/>
        <v>0.50900000000000001</v>
      </c>
    </row>
    <row r="26" spans="2:19" x14ac:dyDescent="0.3">
      <c r="B26" s="12">
        <v>46139</v>
      </c>
      <c r="C26" s="13" t="s">
        <v>75</v>
      </c>
      <c r="D26" s="13" t="s">
        <v>78</v>
      </c>
      <c r="E26" s="13"/>
      <c r="F26" s="13">
        <v>10</v>
      </c>
      <c r="G26" s="13" t="s">
        <v>27</v>
      </c>
      <c r="H26" s="8">
        <v>2.09</v>
      </c>
      <c r="I26" s="4">
        <f t="shared" si="2"/>
        <v>0.20899999999999999</v>
      </c>
      <c r="J26" s="8">
        <v>5.13</v>
      </c>
      <c r="K26" s="4">
        <f t="shared" si="3"/>
        <v>0.51300000000000001</v>
      </c>
      <c r="L26" s="8">
        <v>4.17</v>
      </c>
      <c r="M26" s="4">
        <f t="shared" si="4"/>
        <v>0.41699999999999998</v>
      </c>
      <c r="N26" s="9">
        <v>2.06</v>
      </c>
      <c r="O26" s="4">
        <f t="shared" si="6"/>
        <v>0.20600000000000002</v>
      </c>
      <c r="P26" s="9">
        <v>4.93</v>
      </c>
      <c r="Q26" s="4">
        <f t="shared" si="7"/>
        <v>0.49299999999999999</v>
      </c>
      <c r="R26" s="9">
        <v>3.94</v>
      </c>
      <c r="S26" s="4">
        <f t="shared" si="8"/>
        <v>0.39400000000000002</v>
      </c>
    </row>
    <row r="27" spans="2:19" x14ac:dyDescent="0.3">
      <c r="B27" s="12">
        <v>46139</v>
      </c>
      <c r="C27" s="13" t="s">
        <v>76</v>
      </c>
      <c r="D27" s="13" t="s">
        <v>79</v>
      </c>
      <c r="E27" s="13"/>
      <c r="F27" s="13">
        <v>10</v>
      </c>
      <c r="G27" s="13" t="s">
        <v>27</v>
      </c>
      <c r="H27" s="8">
        <v>1.76</v>
      </c>
      <c r="I27" s="4">
        <f t="shared" si="2"/>
        <v>0.17599999999999999</v>
      </c>
      <c r="J27" s="8">
        <v>4.43</v>
      </c>
      <c r="K27" s="4">
        <f t="shared" si="3"/>
        <v>0.44299999999999995</v>
      </c>
      <c r="L27" s="8">
        <v>3.47</v>
      </c>
      <c r="M27" s="4">
        <f t="shared" si="4"/>
        <v>0.34700000000000003</v>
      </c>
      <c r="N27" s="9">
        <v>1.8</v>
      </c>
      <c r="O27" s="4">
        <f t="shared" si="6"/>
        <v>0.18</v>
      </c>
      <c r="P27" s="9">
        <v>4.0999999999999996</v>
      </c>
      <c r="Q27" s="4">
        <f t="shared" si="7"/>
        <v>0.41</v>
      </c>
      <c r="R27" s="9">
        <v>3.37</v>
      </c>
      <c r="S27" s="4">
        <f t="shared" si="8"/>
        <v>0.33700000000000002</v>
      </c>
    </row>
    <row r="28" spans="2:19" x14ac:dyDescent="0.3">
      <c r="B28" s="7">
        <v>46139</v>
      </c>
      <c r="C28" s="5" t="s">
        <v>35</v>
      </c>
      <c r="D28" s="5" t="s">
        <v>49</v>
      </c>
      <c r="E28" s="5">
        <v>10</v>
      </c>
      <c r="F28" s="5">
        <v>10</v>
      </c>
      <c r="G28" s="5" t="s">
        <v>72</v>
      </c>
      <c r="H28" s="8">
        <f>SUM(H29:H31)</f>
        <v>2.3899999999999997</v>
      </c>
      <c r="I28" s="4">
        <f t="shared" si="2"/>
        <v>0.23899999999999996</v>
      </c>
      <c r="J28" s="8">
        <f>SUM(J29:J31)</f>
        <v>4.92</v>
      </c>
      <c r="K28" s="4">
        <f t="shared" si="3"/>
        <v>0.49199999999999999</v>
      </c>
      <c r="L28" s="8">
        <f>SUM(L29:L31)</f>
        <v>4.0299999999999994</v>
      </c>
      <c r="M28" s="4">
        <f t="shared" si="4"/>
        <v>0.40299999999999991</v>
      </c>
      <c r="N28" s="9">
        <f>SUM(N29:N31)</f>
        <v>2.3899999999999997</v>
      </c>
      <c r="O28" s="4">
        <f t="shared" ref="O28:O35" si="9">N28/F28</f>
        <v>0.23899999999999996</v>
      </c>
      <c r="P28" s="9">
        <f>SUM(P29:P31)</f>
        <v>4.7699999999999996</v>
      </c>
      <c r="Q28" s="4">
        <f t="shared" ref="Q28:Q35" si="10">P28/F28</f>
        <v>0.47699999999999998</v>
      </c>
      <c r="R28" s="9">
        <f>SUM(R29:R31)</f>
        <v>3.84</v>
      </c>
      <c r="S28" s="4">
        <f t="shared" ref="S28:S35" si="11">R28/F28</f>
        <v>0.38400000000000001</v>
      </c>
    </row>
    <row r="29" spans="2:19" x14ac:dyDescent="0.3">
      <c r="B29" s="12">
        <v>46139</v>
      </c>
      <c r="C29" s="13" t="s">
        <v>66</v>
      </c>
      <c r="D29" s="13" t="s">
        <v>69</v>
      </c>
      <c r="E29" s="13"/>
      <c r="F29" s="13">
        <v>1</v>
      </c>
      <c r="G29" s="13" t="s">
        <v>14</v>
      </c>
      <c r="H29" s="8">
        <v>0.42</v>
      </c>
      <c r="I29" s="4">
        <f t="shared" si="2"/>
        <v>0.42</v>
      </c>
      <c r="J29" s="8">
        <v>0.43</v>
      </c>
      <c r="K29" s="4">
        <f t="shared" si="3"/>
        <v>0.43</v>
      </c>
      <c r="L29" s="8">
        <v>0.43</v>
      </c>
      <c r="M29" s="4">
        <f t="shared" si="4"/>
        <v>0.43</v>
      </c>
      <c r="N29" s="9">
        <v>0.43</v>
      </c>
      <c r="O29" s="4">
        <f t="shared" si="9"/>
        <v>0.43</v>
      </c>
      <c r="P29" s="9">
        <v>0.44</v>
      </c>
      <c r="Q29" s="4">
        <f t="shared" si="10"/>
        <v>0.44</v>
      </c>
      <c r="R29" s="9">
        <v>0.44</v>
      </c>
      <c r="S29" s="4">
        <f t="shared" si="11"/>
        <v>0.44</v>
      </c>
    </row>
    <row r="30" spans="2:19" x14ac:dyDescent="0.3">
      <c r="B30" s="12">
        <v>46139</v>
      </c>
      <c r="C30" s="13" t="s">
        <v>67</v>
      </c>
      <c r="D30" s="13" t="s">
        <v>70</v>
      </c>
      <c r="E30" s="13"/>
      <c r="F30" s="13">
        <v>1</v>
      </c>
      <c r="G30" s="13" t="s">
        <v>27</v>
      </c>
      <c r="H30" s="8">
        <v>0.3</v>
      </c>
      <c r="I30" s="4">
        <f t="shared" si="2"/>
        <v>0.3</v>
      </c>
      <c r="J30" s="8">
        <v>0.3</v>
      </c>
      <c r="K30" s="4">
        <f t="shared" si="3"/>
        <v>0.3</v>
      </c>
      <c r="L30" s="8">
        <v>0.3</v>
      </c>
      <c r="M30" s="4">
        <f t="shared" si="4"/>
        <v>0.3</v>
      </c>
      <c r="N30" s="9">
        <v>0.3</v>
      </c>
      <c r="O30" s="4">
        <f t="shared" si="9"/>
        <v>0.3</v>
      </c>
      <c r="P30" s="9">
        <v>0.41</v>
      </c>
      <c r="Q30" s="4">
        <f t="shared" si="10"/>
        <v>0.41</v>
      </c>
      <c r="R30" s="9">
        <v>0.3</v>
      </c>
      <c r="S30" s="4">
        <f t="shared" si="11"/>
        <v>0.3</v>
      </c>
    </row>
    <row r="31" spans="2:19" x14ac:dyDescent="0.3">
      <c r="B31" s="12">
        <v>46139</v>
      </c>
      <c r="C31" s="13" t="s">
        <v>68</v>
      </c>
      <c r="D31" s="13" t="s">
        <v>71</v>
      </c>
      <c r="E31" s="13"/>
      <c r="F31" s="13">
        <v>8</v>
      </c>
      <c r="G31" s="13" t="s">
        <v>27</v>
      </c>
      <c r="H31" s="8">
        <v>1.67</v>
      </c>
      <c r="I31" s="4">
        <f t="shared" si="2"/>
        <v>0.20874999999999999</v>
      </c>
      <c r="J31" s="8">
        <v>4.1900000000000004</v>
      </c>
      <c r="K31" s="4">
        <f t="shared" si="3"/>
        <v>0.52375000000000005</v>
      </c>
      <c r="L31" s="8">
        <v>3.3</v>
      </c>
      <c r="M31" s="4">
        <f t="shared" si="4"/>
        <v>0.41249999999999998</v>
      </c>
      <c r="N31" s="9">
        <v>1.66</v>
      </c>
      <c r="O31" s="4">
        <f t="shared" si="9"/>
        <v>0.20749999999999999</v>
      </c>
      <c r="P31" s="9">
        <v>3.92</v>
      </c>
      <c r="Q31" s="4">
        <f t="shared" si="10"/>
        <v>0.49</v>
      </c>
      <c r="R31" s="9">
        <v>3.1</v>
      </c>
      <c r="S31" s="4">
        <f t="shared" si="11"/>
        <v>0.38750000000000001</v>
      </c>
    </row>
    <row r="32" spans="2:19" x14ac:dyDescent="0.3">
      <c r="B32" s="7">
        <v>46139</v>
      </c>
      <c r="C32" s="5" t="s">
        <v>36</v>
      </c>
      <c r="D32" s="5" t="s">
        <v>58</v>
      </c>
      <c r="E32" s="5">
        <v>10</v>
      </c>
      <c r="F32" s="5">
        <v>10</v>
      </c>
      <c r="G32" s="5" t="s">
        <v>27</v>
      </c>
      <c r="H32" s="8">
        <v>0</v>
      </c>
      <c r="I32" s="4">
        <f t="shared" si="2"/>
        <v>0</v>
      </c>
      <c r="J32" s="8">
        <v>0.16</v>
      </c>
      <c r="K32" s="4">
        <f t="shared" si="3"/>
        <v>1.6E-2</v>
      </c>
      <c r="L32" s="8">
        <v>0</v>
      </c>
      <c r="M32" s="4">
        <f t="shared" si="4"/>
        <v>0</v>
      </c>
      <c r="N32" s="9">
        <v>0.05</v>
      </c>
      <c r="O32" s="4">
        <f t="shared" si="9"/>
        <v>5.0000000000000001E-3</v>
      </c>
      <c r="P32" s="9">
        <v>0.98</v>
      </c>
      <c r="Q32" s="4">
        <f t="shared" si="10"/>
        <v>9.8000000000000004E-2</v>
      </c>
      <c r="R32" s="9">
        <v>0.5</v>
      </c>
      <c r="S32" s="4">
        <f t="shared" si="11"/>
        <v>0.05</v>
      </c>
    </row>
    <row r="33" spans="2:19" x14ac:dyDescent="0.3">
      <c r="B33" s="7">
        <v>46139</v>
      </c>
      <c r="C33" s="5" t="s">
        <v>37</v>
      </c>
      <c r="D33" s="5" t="s">
        <v>53</v>
      </c>
      <c r="E33" s="5">
        <v>1</v>
      </c>
      <c r="F33" s="5">
        <v>1</v>
      </c>
      <c r="G33" s="5" t="s">
        <v>27</v>
      </c>
      <c r="H33" s="8">
        <v>0.52</v>
      </c>
      <c r="I33" s="4">
        <f t="shared" si="2"/>
        <v>0.52</v>
      </c>
      <c r="J33" s="8">
        <v>0.52</v>
      </c>
      <c r="K33" s="4">
        <f t="shared" si="3"/>
        <v>0.52</v>
      </c>
      <c r="L33" s="8">
        <v>0.52</v>
      </c>
      <c r="M33" s="4">
        <f t="shared" si="4"/>
        <v>0.52</v>
      </c>
      <c r="N33" s="9">
        <v>0.53</v>
      </c>
      <c r="O33" s="4">
        <f t="shared" si="9"/>
        <v>0.53</v>
      </c>
      <c r="P33" s="9">
        <v>0.54</v>
      </c>
      <c r="Q33" s="4">
        <f t="shared" si="10"/>
        <v>0.54</v>
      </c>
      <c r="R33" s="9">
        <v>0.54</v>
      </c>
      <c r="S33" s="4">
        <f t="shared" si="11"/>
        <v>0.54</v>
      </c>
    </row>
    <row r="34" spans="2:19" x14ac:dyDescent="0.3">
      <c r="B34" s="7">
        <v>46139</v>
      </c>
      <c r="C34" s="5" t="s">
        <v>38</v>
      </c>
      <c r="D34" s="5" t="s">
        <v>59</v>
      </c>
      <c r="E34" s="5">
        <v>1</v>
      </c>
      <c r="F34" s="5">
        <v>1</v>
      </c>
      <c r="G34" s="5" t="s">
        <v>27</v>
      </c>
      <c r="H34" s="8">
        <v>0</v>
      </c>
      <c r="I34" s="4">
        <f t="shared" si="2"/>
        <v>0</v>
      </c>
      <c r="J34" s="8">
        <v>0</v>
      </c>
      <c r="K34" s="4">
        <f t="shared" si="3"/>
        <v>0</v>
      </c>
      <c r="L34" s="8">
        <v>0</v>
      </c>
      <c r="M34" s="4">
        <f t="shared" si="4"/>
        <v>0</v>
      </c>
      <c r="N34" s="9">
        <v>0</v>
      </c>
      <c r="O34" s="4">
        <f t="shared" si="9"/>
        <v>0</v>
      </c>
      <c r="P34" s="9">
        <v>0</v>
      </c>
      <c r="Q34" s="4">
        <f t="shared" si="10"/>
        <v>0</v>
      </c>
      <c r="R34" s="9">
        <v>0</v>
      </c>
      <c r="S34" s="4">
        <f t="shared" si="11"/>
        <v>0</v>
      </c>
    </row>
    <row r="35" spans="2:19" x14ac:dyDescent="0.3">
      <c r="B35" s="7">
        <v>46139</v>
      </c>
      <c r="C35" s="5" t="s">
        <v>39</v>
      </c>
      <c r="D35" s="5" t="s">
        <v>48</v>
      </c>
      <c r="E35" s="5">
        <v>10</v>
      </c>
      <c r="F35" s="5">
        <v>10</v>
      </c>
      <c r="G35" s="5" t="s">
        <v>27</v>
      </c>
      <c r="H35" s="8">
        <f>SUM(H36:H37)</f>
        <v>0.41</v>
      </c>
      <c r="I35" s="4">
        <f t="shared" si="2"/>
        <v>4.0999999999999995E-2</v>
      </c>
      <c r="J35" s="8">
        <f>SUM(J36:J37)</f>
        <v>1.04</v>
      </c>
      <c r="K35" s="4">
        <f t="shared" si="3"/>
        <v>0.10400000000000001</v>
      </c>
      <c r="L35" s="8">
        <f>SUM(L36:L37)</f>
        <v>0.78</v>
      </c>
      <c r="M35" s="4">
        <f t="shared" si="4"/>
        <v>7.8E-2</v>
      </c>
      <c r="N35" s="9">
        <f>SUM(N36:N37)</f>
        <v>0.45</v>
      </c>
      <c r="O35" s="4">
        <f t="shared" si="9"/>
        <v>4.4999999999999998E-2</v>
      </c>
      <c r="P35" s="9">
        <f>SUM(P36:P37)</f>
        <v>1.07</v>
      </c>
      <c r="Q35" s="4">
        <f t="shared" si="10"/>
        <v>0.10700000000000001</v>
      </c>
      <c r="R35" s="9">
        <f>SUM(R36:R37)</f>
        <v>0.86</v>
      </c>
      <c r="S35" s="4">
        <f t="shared" si="11"/>
        <v>8.5999999999999993E-2</v>
      </c>
    </row>
    <row r="36" spans="2:19" x14ac:dyDescent="0.3">
      <c r="B36" s="12">
        <v>46139</v>
      </c>
      <c r="C36" s="13" t="s">
        <v>81</v>
      </c>
      <c r="D36" s="13" t="s">
        <v>83</v>
      </c>
      <c r="E36" s="13"/>
      <c r="F36" s="13">
        <v>5</v>
      </c>
      <c r="G36" s="13" t="s">
        <v>27</v>
      </c>
      <c r="H36" s="8">
        <v>0.41</v>
      </c>
      <c r="I36" s="4">
        <f t="shared" ref="I36:I37" si="12">H36/F36</f>
        <v>8.199999999999999E-2</v>
      </c>
      <c r="J36" s="8">
        <v>1.04</v>
      </c>
      <c r="K36" s="4">
        <f t="shared" ref="K36:K37" si="13">J36/F36</f>
        <v>0.20800000000000002</v>
      </c>
      <c r="L36" s="8">
        <v>0.78</v>
      </c>
      <c r="M36" s="4">
        <f t="shared" ref="M36:M37" si="14">L36/F36</f>
        <v>0.156</v>
      </c>
      <c r="N36" s="9">
        <v>0.45</v>
      </c>
      <c r="O36" s="4">
        <f t="shared" ref="O36:O37" si="15">N36/F36</f>
        <v>0.09</v>
      </c>
      <c r="P36" s="9">
        <v>1.07</v>
      </c>
      <c r="Q36" s="4">
        <f t="shared" ref="Q36:Q37" si="16">P36/F36</f>
        <v>0.21400000000000002</v>
      </c>
      <c r="R36" s="9">
        <v>0.86</v>
      </c>
      <c r="S36" s="4">
        <f t="shared" ref="S36:S37" si="17">R36/F36</f>
        <v>0.17199999999999999</v>
      </c>
    </row>
    <row r="37" spans="2:19" x14ac:dyDescent="0.3">
      <c r="B37" s="12">
        <v>46139</v>
      </c>
      <c r="C37" s="13" t="s">
        <v>82</v>
      </c>
      <c r="D37" s="13" t="s">
        <v>84</v>
      </c>
      <c r="E37" s="13"/>
      <c r="F37" s="13">
        <v>5</v>
      </c>
      <c r="G37" s="13" t="s">
        <v>27</v>
      </c>
      <c r="H37" s="8">
        <v>0</v>
      </c>
      <c r="I37" s="4">
        <f t="shared" si="12"/>
        <v>0</v>
      </c>
      <c r="J37" s="8">
        <v>0</v>
      </c>
      <c r="K37" s="4">
        <f t="shared" si="13"/>
        <v>0</v>
      </c>
      <c r="L37" s="8">
        <v>0</v>
      </c>
      <c r="M37" s="4">
        <f t="shared" si="14"/>
        <v>0</v>
      </c>
      <c r="N37" s="9">
        <v>0</v>
      </c>
      <c r="O37" s="4">
        <f t="shared" si="15"/>
        <v>0</v>
      </c>
      <c r="P37" s="9">
        <v>0</v>
      </c>
      <c r="Q37" s="4">
        <f t="shared" si="16"/>
        <v>0</v>
      </c>
      <c r="R37" s="9">
        <v>0</v>
      </c>
      <c r="S37" s="4">
        <f t="shared" si="17"/>
        <v>0</v>
      </c>
    </row>
  </sheetData>
  <mergeCells count="15">
    <mergeCell ref="N4:O4"/>
    <mergeCell ref="P4:Q4"/>
    <mergeCell ref="R4:S4"/>
    <mergeCell ref="H2:S2"/>
    <mergeCell ref="G2:G5"/>
    <mergeCell ref="L4:M4"/>
    <mergeCell ref="H4:I4"/>
    <mergeCell ref="J4:K4"/>
    <mergeCell ref="H3:M3"/>
    <mergeCell ref="N3:S3"/>
    <mergeCell ref="F2:F5"/>
    <mergeCell ref="E2:E5"/>
    <mergeCell ref="D2:D5"/>
    <mergeCell ref="C2:C5"/>
    <mergeCell ref="B2:B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C9BEC-65ED-44C9-83AA-1B43D9591698}">
  <dimension ref="B3:C28"/>
  <sheetViews>
    <sheetView workbookViewId="0">
      <selection activeCell="C3" sqref="C3"/>
    </sheetView>
  </sheetViews>
  <sheetFormatPr baseColWidth="10" defaultRowHeight="14.4" x14ac:dyDescent="0.3"/>
  <cols>
    <col min="1" max="1" width="11.5546875" style="14"/>
    <col min="2" max="2" width="24.88671875" style="14" bestFit="1" customWidth="1"/>
    <col min="3" max="3" width="13.109375" style="14" customWidth="1"/>
    <col min="4" max="16384" width="11.5546875" style="14"/>
  </cols>
  <sheetData>
    <row r="3" spans="2:3" x14ac:dyDescent="0.3">
      <c r="B3" s="2" t="s">
        <v>89</v>
      </c>
      <c r="C3" s="2" t="s">
        <v>85</v>
      </c>
    </row>
    <row r="4" spans="2:3" x14ac:dyDescent="0.3">
      <c r="B4" s="5" t="s">
        <v>86</v>
      </c>
      <c r="C4" s="15">
        <v>2</v>
      </c>
    </row>
    <row r="5" spans="2:3" x14ac:dyDescent="0.3">
      <c r="B5" s="5" t="s">
        <v>5</v>
      </c>
      <c r="C5" s="15">
        <v>1</v>
      </c>
    </row>
    <row r="6" spans="2:3" x14ac:dyDescent="0.3">
      <c r="B6" s="5" t="s">
        <v>21</v>
      </c>
      <c r="C6" s="15">
        <v>0.5</v>
      </c>
    </row>
    <row r="7" spans="2:3" x14ac:dyDescent="0.3">
      <c r="B7" s="5" t="s">
        <v>87</v>
      </c>
      <c r="C7" s="15">
        <v>0.1</v>
      </c>
    </row>
    <row r="8" spans="2:3" x14ac:dyDescent="0.3">
      <c r="B8" s="5" t="s">
        <v>88</v>
      </c>
      <c r="C8" s="15">
        <v>0.1</v>
      </c>
    </row>
    <row r="9" spans="2:3" x14ac:dyDescent="0.3">
      <c r="B9" s="5" t="s">
        <v>25</v>
      </c>
      <c r="C9" s="15">
        <v>0.1</v>
      </c>
    </row>
    <row r="10" spans="2:3" x14ac:dyDescent="0.3">
      <c r="B10" s="5" t="s">
        <v>55</v>
      </c>
      <c r="C10" s="15">
        <v>6.68</v>
      </c>
    </row>
    <row r="11" spans="2:3" x14ac:dyDescent="0.3">
      <c r="B11" s="5" t="s">
        <v>56</v>
      </c>
      <c r="C11" s="15">
        <v>14.64</v>
      </c>
    </row>
    <row r="12" spans="2:3" x14ac:dyDescent="0.3">
      <c r="B12" s="5" t="s">
        <v>54</v>
      </c>
      <c r="C12" s="15">
        <v>9.23</v>
      </c>
    </row>
    <row r="13" spans="2:3" x14ac:dyDescent="0.3">
      <c r="B13" s="5" t="s">
        <v>57</v>
      </c>
      <c r="C13" s="16">
        <v>12.7</v>
      </c>
    </row>
    <row r="14" spans="2:3" x14ac:dyDescent="0.3">
      <c r="B14" s="5" t="s">
        <v>52</v>
      </c>
      <c r="C14" s="15">
        <v>13.57</v>
      </c>
    </row>
    <row r="15" spans="2:3" x14ac:dyDescent="0.3">
      <c r="B15" s="5" t="s">
        <v>90</v>
      </c>
      <c r="C15" s="16">
        <f>AVERAGE(C16:C19)</f>
        <v>6.5874999999999995</v>
      </c>
    </row>
    <row r="16" spans="2:3" x14ac:dyDescent="0.3">
      <c r="B16" s="13" t="s">
        <v>80</v>
      </c>
      <c r="C16" s="15">
        <v>5.03</v>
      </c>
    </row>
    <row r="17" spans="2:3" x14ac:dyDescent="0.3">
      <c r="B17" s="13" t="s">
        <v>77</v>
      </c>
      <c r="C17" s="16">
        <v>9.4</v>
      </c>
    </row>
    <row r="18" spans="2:3" x14ac:dyDescent="0.3">
      <c r="B18" s="13" t="s">
        <v>78</v>
      </c>
      <c r="C18" s="15">
        <v>6.01</v>
      </c>
    </row>
    <row r="19" spans="2:3" x14ac:dyDescent="0.3">
      <c r="B19" s="13" t="s">
        <v>79</v>
      </c>
      <c r="C19" s="15">
        <v>5.91</v>
      </c>
    </row>
    <row r="20" spans="2:3" x14ac:dyDescent="0.3">
      <c r="B20" s="5" t="s">
        <v>91</v>
      </c>
      <c r="C20" s="15">
        <f>AVERAGE(C21:C22)</f>
        <v>10.07</v>
      </c>
    </row>
    <row r="21" spans="2:3" x14ac:dyDescent="0.3">
      <c r="B21" s="13" t="s">
        <v>70</v>
      </c>
      <c r="C21" s="15">
        <v>12.45</v>
      </c>
    </row>
    <row r="22" spans="2:3" x14ac:dyDescent="0.3">
      <c r="B22" s="13" t="s">
        <v>71</v>
      </c>
      <c r="C22" s="15">
        <v>7.69</v>
      </c>
    </row>
    <row r="23" spans="2:3" x14ac:dyDescent="0.3">
      <c r="B23" s="5" t="s">
        <v>58</v>
      </c>
      <c r="C23" s="15">
        <v>5.89</v>
      </c>
    </row>
    <row r="24" spans="2:3" x14ac:dyDescent="0.3">
      <c r="B24" s="5" t="s">
        <v>53</v>
      </c>
      <c r="C24" s="15">
        <v>14.05</v>
      </c>
    </row>
    <row r="25" spans="2:3" x14ac:dyDescent="0.3">
      <c r="B25" s="5" t="s">
        <v>59</v>
      </c>
      <c r="C25" s="15">
        <v>14.89</v>
      </c>
    </row>
    <row r="26" spans="2:3" x14ac:dyDescent="0.3">
      <c r="B26" s="5" t="s">
        <v>92</v>
      </c>
      <c r="C26" s="16">
        <f>AVERAGE(C27:C28)</f>
        <v>9.1999999999999993</v>
      </c>
    </row>
    <row r="27" spans="2:3" x14ac:dyDescent="0.3">
      <c r="B27" s="13" t="s">
        <v>83</v>
      </c>
      <c r="C27" s="15">
        <v>5.72</v>
      </c>
    </row>
    <row r="28" spans="2:3" x14ac:dyDescent="0.3">
      <c r="B28" s="13" t="s">
        <v>84</v>
      </c>
      <c r="C28" s="15">
        <v>12.68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Tràfic</vt:lpstr>
      <vt:lpstr>Latències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Bonnin</dc:creator>
  <cp:lastModifiedBy>jnric _</cp:lastModifiedBy>
  <dcterms:created xsi:type="dcterms:W3CDTF">2015-06-05T18:19:34Z</dcterms:created>
  <dcterms:modified xsi:type="dcterms:W3CDTF">2026-05-20T18:55:04Z</dcterms:modified>
</cp:coreProperties>
</file>