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nric\Documents\UOC\TFM\4-Validacio\documentacio\"/>
    </mc:Choice>
  </mc:AlternateContent>
  <xr:revisionPtr revIDLastSave="0" documentId="13_ncr:1_{FE78062F-399F-490E-838C-FF4501F66C82}" xr6:coauthVersionLast="47" xr6:coauthVersionMax="47" xr10:uidLastSave="{00000000-0000-0000-0000-000000000000}"/>
  <bookViews>
    <workbookView xWindow="252" yWindow="108" windowWidth="20496" windowHeight="11880" tabRatio="709" activeTab="4" xr2:uid="{00000000-000D-0000-FFFF-FFFF00000000}"/>
  </bookViews>
  <sheets>
    <sheet name="Trafic" sheetId="3" r:id="rId1"/>
    <sheet name="Negoci" sheetId="2" r:id="rId2"/>
    <sheet name="ESCENARI_1" sheetId="4" r:id="rId3"/>
    <sheet name="ESCENARI_2" sheetId="5" r:id="rId4"/>
    <sheet name="ESCENARI_3" sheetId="6" r:id="rId5"/>
  </sheets>
  <definedNames>
    <definedName name="_xlnm._FilterDatabase" localSheetId="1" hidden="1">Negoci!$B$3:$N$3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6" l="1"/>
  <c r="J7" i="6"/>
  <c r="J8" i="6"/>
  <c r="J9" i="6"/>
  <c r="J10" i="6"/>
  <c r="J11" i="6"/>
  <c r="J12" i="6"/>
  <c r="J13" i="6"/>
  <c r="J5" i="6"/>
  <c r="J6" i="5"/>
  <c r="J7" i="5"/>
  <c r="J8" i="5"/>
  <c r="J9" i="5"/>
  <c r="J10" i="5"/>
  <c r="J11" i="5"/>
  <c r="J12" i="5"/>
  <c r="J13" i="5"/>
  <c r="J5" i="5"/>
  <c r="J6" i="4"/>
  <c r="J7" i="4"/>
  <c r="J8" i="4"/>
  <c r="J9" i="4"/>
  <c r="J10" i="4"/>
  <c r="J11" i="4"/>
  <c r="J12" i="4"/>
  <c r="J13" i="4"/>
  <c r="J5" i="4"/>
  <c r="M5" i="2" l="1"/>
  <c r="M6" i="2"/>
  <c r="M7" i="2"/>
  <c r="M8" i="2"/>
  <c r="M9" i="2"/>
  <c r="M10" i="2"/>
  <c r="M11" i="2"/>
  <c r="M12" i="2"/>
  <c r="M4" i="2"/>
  <c r="L5" i="2"/>
  <c r="L6" i="2"/>
  <c r="L7" i="2"/>
  <c r="L8" i="2"/>
  <c r="L9" i="2"/>
  <c r="L10" i="2"/>
  <c r="L11" i="2"/>
  <c r="L12" i="2"/>
  <c r="L4" i="2"/>
  <c r="N4" i="2"/>
  <c r="N5" i="2"/>
  <c r="N6" i="2"/>
  <c r="N7" i="2"/>
  <c r="N8" i="2"/>
  <c r="N9" i="2"/>
  <c r="N10" i="2"/>
  <c r="N11" i="2"/>
  <c r="N12" i="2"/>
  <c r="Q8" i="2" l="1"/>
  <c r="F9" i="6" s="1"/>
  <c r="P6" i="2"/>
  <c r="F7" i="5" s="1"/>
  <c r="H7" i="5" s="1"/>
  <c r="Q7" i="2"/>
  <c r="F8" i="6" s="1"/>
  <c r="O4" i="2"/>
  <c r="F5" i="4" s="1"/>
  <c r="H5" i="4" s="1"/>
  <c r="O12" i="2"/>
  <c r="F13" i="4" s="1"/>
  <c r="H13" i="4" s="1"/>
  <c r="P4" i="2"/>
  <c r="F5" i="5" s="1"/>
  <c r="H5" i="5" s="1"/>
  <c r="O5" i="2"/>
  <c r="F6" i="4" s="1"/>
  <c r="H6" i="4" s="1"/>
  <c r="Q10" i="2"/>
  <c r="F11" i="6" s="1"/>
  <c r="P5" i="2"/>
  <c r="F6" i="5" s="1"/>
  <c r="H6" i="5" s="1"/>
  <c r="Q11" i="2"/>
  <c r="F12" i="6" s="1"/>
  <c r="Q9" i="2"/>
  <c r="F10" i="6" s="1"/>
  <c r="Q6" i="2"/>
  <c r="F7" i="6" s="1"/>
  <c r="O11" i="2"/>
  <c r="F12" i="4" s="1"/>
  <c r="H12" i="4" s="1"/>
  <c r="P12" i="2"/>
  <c r="F13" i="5" s="1"/>
  <c r="H13" i="5" s="1"/>
  <c r="Q4" i="2"/>
  <c r="F5" i="6" s="1"/>
  <c r="Q5" i="2"/>
  <c r="F6" i="6" s="1"/>
  <c r="Q12" i="2"/>
  <c r="F13" i="6" s="1"/>
  <c r="O10" i="2"/>
  <c r="F11" i="4" s="1"/>
  <c r="H11" i="4" s="1"/>
  <c r="P11" i="2"/>
  <c r="F12" i="5" s="1"/>
  <c r="H12" i="5" s="1"/>
  <c r="O9" i="2"/>
  <c r="F10" i="4" s="1"/>
  <c r="H10" i="4" s="1"/>
  <c r="P10" i="2"/>
  <c r="F11" i="5" s="1"/>
  <c r="H11" i="5" s="1"/>
  <c r="O8" i="2"/>
  <c r="F9" i="4" s="1"/>
  <c r="H9" i="4" s="1"/>
  <c r="P9" i="2"/>
  <c r="F10" i="5" s="1"/>
  <c r="H10" i="5" s="1"/>
  <c r="O7" i="2"/>
  <c r="F8" i="4" s="1"/>
  <c r="H8" i="4" s="1"/>
  <c r="P8" i="2"/>
  <c r="F9" i="5" s="1"/>
  <c r="H9" i="5" s="1"/>
  <c r="O6" i="2"/>
  <c r="F7" i="4" s="1"/>
  <c r="H7" i="4" s="1"/>
  <c r="P7" i="2"/>
  <c r="F8" i="5" s="1"/>
  <c r="H8" i="5" s="1"/>
  <c r="I6" i="5"/>
  <c r="I7" i="5"/>
  <c r="I8" i="5"/>
  <c r="I9" i="5"/>
  <c r="I10" i="5"/>
  <c r="I11" i="5"/>
  <c r="I12" i="5"/>
  <c r="I13" i="5"/>
  <c r="I8" i="4"/>
  <c r="I9" i="4"/>
  <c r="I10" i="4"/>
  <c r="I11" i="4"/>
  <c r="I12" i="4"/>
  <c r="I13" i="4"/>
  <c r="I5" i="4"/>
  <c r="I6" i="4"/>
  <c r="I7" i="4"/>
  <c r="D14" i="6"/>
  <c r="C14" i="6"/>
  <c r="I13" i="6"/>
  <c r="I12" i="6"/>
  <c r="I11" i="6"/>
  <c r="I10" i="6"/>
  <c r="I9" i="6"/>
  <c r="I8" i="6"/>
  <c r="I7" i="6"/>
  <c r="I6" i="6"/>
  <c r="I5" i="6"/>
  <c r="D14" i="5"/>
  <c r="C14" i="5"/>
  <c r="D14" i="4"/>
  <c r="C14" i="4"/>
  <c r="E3" i="3"/>
  <c r="E4" i="3"/>
  <c r="E5" i="3"/>
  <c r="E6" i="3"/>
  <c r="E7" i="3"/>
  <c r="E8" i="3"/>
  <c r="E9" i="3"/>
  <c r="E10" i="3"/>
  <c r="E11" i="3"/>
  <c r="C12" i="3"/>
  <c r="D12" i="3"/>
  <c r="E12" i="3" s="1"/>
  <c r="K11" i="4" l="1"/>
  <c r="I5" i="5"/>
  <c r="E14" i="5"/>
  <c r="K12" i="4"/>
  <c r="K9" i="4"/>
  <c r="K13" i="4"/>
  <c r="K10" i="4"/>
  <c r="K7" i="4"/>
  <c r="K6" i="4"/>
  <c r="K8" i="4"/>
  <c r="K5" i="4"/>
  <c r="K9" i="5"/>
  <c r="E14" i="6"/>
  <c r="K11" i="5"/>
  <c r="E14" i="4"/>
  <c r="J14" i="4" l="1"/>
  <c r="H14" i="4"/>
  <c r="H15" i="4" s="1"/>
  <c r="I14" i="4" l="1"/>
  <c r="K14" i="4"/>
  <c r="C23" i="3"/>
  <c r="K5" i="2"/>
  <c r="K6" i="2"/>
  <c r="K7" i="2"/>
  <c r="K8" i="2"/>
  <c r="H9" i="6" s="1"/>
  <c r="K9" i="6" s="1"/>
  <c r="K9" i="2"/>
  <c r="K10" i="2"/>
  <c r="K11" i="2"/>
  <c r="K12" i="2"/>
  <c r="K4" i="2"/>
  <c r="H5" i="6" s="1"/>
  <c r="K6" i="5"/>
  <c r="K7" i="5"/>
  <c r="K8" i="5"/>
  <c r="K10" i="5"/>
  <c r="K12" i="5"/>
  <c r="K13" i="5"/>
  <c r="I13" i="2"/>
  <c r="H13" i="2"/>
  <c r="G13" i="2"/>
  <c r="F13" i="2"/>
  <c r="D21" i="3" l="1"/>
  <c r="D22" i="3"/>
  <c r="D15" i="3"/>
  <c r="D16" i="3"/>
  <c r="D17" i="3"/>
  <c r="D18" i="3"/>
  <c r="D19" i="3"/>
  <c r="D20" i="3"/>
  <c r="H14" i="2"/>
  <c r="G14" i="2"/>
  <c r="I14" i="2"/>
  <c r="H8" i="6"/>
  <c r="K8" i="6" s="1"/>
  <c r="H10" i="6"/>
  <c r="K10" i="6" s="1"/>
  <c r="H7" i="6"/>
  <c r="K7" i="6" s="1"/>
  <c r="H6" i="6"/>
  <c r="H13" i="6"/>
  <c r="K13" i="6" s="1"/>
  <c r="H11" i="6"/>
  <c r="K11" i="6" s="1"/>
  <c r="H12" i="6"/>
  <c r="K12" i="6" s="1"/>
  <c r="J13" i="2"/>
  <c r="D13" i="2"/>
  <c r="M13" i="2" l="1"/>
  <c r="J14" i="2"/>
  <c r="L13" i="2"/>
  <c r="K6" i="6"/>
  <c r="H14" i="6"/>
  <c r="H15" i="6" s="1"/>
  <c r="K5" i="6"/>
  <c r="H14" i="5"/>
  <c r="H15" i="5" s="1"/>
  <c r="K13" i="2"/>
  <c r="N13" i="2"/>
  <c r="E5" i="2"/>
  <c r="E6" i="2"/>
  <c r="E7" i="2"/>
  <c r="E8" i="2"/>
  <c r="E9" i="2"/>
  <c r="E10" i="2"/>
  <c r="E11" i="2"/>
  <c r="E12" i="2"/>
  <c r="E13" i="2"/>
  <c r="E4" i="2"/>
  <c r="O13" i="2" l="1"/>
  <c r="F14" i="4" s="1"/>
  <c r="P13" i="2"/>
  <c r="F14" i="5" s="1"/>
  <c r="Q13" i="2"/>
  <c r="F14" i="6" s="1"/>
  <c r="J14" i="6"/>
  <c r="K5" i="5"/>
  <c r="J14" i="5"/>
  <c r="I14" i="5" s="1"/>
  <c r="K14" i="6" l="1"/>
  <c r="I14" i="6"/>
  <c r="K14" i="5"/>
</calcChain>
</file>

<file path=xl/sharedStrings.xml><?xml version="1.0" encoding="utf-8"?>
<sst xmlns="http://schemas.openxmlformats.org/spreadsheetml/2006/main" count="124" uniqueCount="51">
  <si>
    <t>Operador</t>
  </si>
  <si>
    <t>Data</t>
  </si>
  <si>
    <t>TOTAL</t>
  </si>
  <si>
    <t>OP01-ADZ</t>
  </si>
  <si>
    <t>OP05-ALS</t>
  </si>
  <si>
    <t>OP07-CST</t>
  </si>
  <si>
    <t>OP06-EAM</t>
  </si>
  <si>
    <t>OP02-INF</t>
  </si>
  <si>
    <t>OP04-RJT</t>
  </si>
  <si>
    <t>OP03-SST</t>
  </si>
  <si>
    <t>OP09-JFG</t>
  </si>
  <si>
    <t>Unitats Inmobiliaries
 Passades</t>
  </si>
  <si>
    <t>Desplegament</t>
  </si>
  <si>
    <t>OP08-MDN</t>
  </si>
  <si>
    <t>Anàlisi del negoci</t>
  </si>
  <si>
    <t>% Penetració
actual</t>
  </si>
  <si>
    <t>CAGR 
2022-2026</t>
  </si>
  <si>
    <t>Orange-Jazztel</t>
  </si>
  <si>
    <t>Meta</t>
  </si>
  <si>
    <t>Hurricane</t>
  </si>
  <si>
    <t>Google</t>
  </si>
  <si>
    <t>Netflix</t>
  </si>
  <si>
    <t>Aire Networks IPTV</t>
  </si>
  <si>
    <t>Aire Networks VoIP</t>
  </si>
  <si>
    <t>5è any</t>
  </si>
  <si>
    <t>Altes</t>
  </si>
  <si>
    <t>Demanda mitjana
 per client [Mbps]</t>
  </si>
  <si>
    <t>Situació actual</t>
  </si>
  <si>
    <t>Tràfic p95</t>
  </si>
  <si>
    <t>Hipotesi de creixement
conservador</t>
  </si>
  <si>
    <t>Evolució 
de la demanda</t>
  </si>
  <si>
    <t>Hipotesi de creixement
moderat</t>
  </si>
  <si>
    <t>Hipotesi de creixement
agressiu</t>
  </si>
  <si>
    <t>Creixement
Anual p95</t>
  </si>
  <si>
    <t>Increment</t>
  </si>
  <si>
    <t>CAGR
2023-2026</t>
  </si>
  <si>
    <t>CAGR
2025-2026</t>
  </si>
  <si>
    <t>CAGR
2024-2026</t>
  </si>
  <si>
    <t>Min</t>
  </si>
  <si>
    <t>Mitg</t>
  </si>
  <si>
    <t>Max</t>
  </si>
  <si>
    <t>Creixement del Negoci
(CAGR min)</t>
  </si>
  <si>
    <t>Creixement del Negoci
(CAGR mitg)</t>
  </si>
  <si>
    <t>Creixement del Negoci
(CAGR max)</t>
  </si>
  <si>
    <t>Creixement anual</t>
  </si>
  <si>
    <t>Històric clients</t>
  </si>
  <si>
    <t>Espanix</t>
  </si>
  <si>
    <t>%</t>
  </si>
  <si>
    <t>Referències finals per als escenaris</t>
  </si>
  <si>
    <t>p95 [Gbps]</t>
  </si>
  <si>
    <t>Proveïdor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</si>
</sst>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0.000"/>
    <numFmt numFmtId="166" formatCode="_-* #,##0.000\ _€_-;\-* #,##0.000\ _€_-;_-* &quot;-&quot;???\ _€_-;_-@_-"/>
    <numFmt numFmtId="167" formatCode="_-* #,##0.00\ _€_-;\-* #,##0.00\ _€_-;_-* &quot;-&quot;???\ _€_-;_-@_-"/>
    <numFmt numFmtId="168" formatCode="_-* #,##0.00\ _€_-;\-* #,##0.00\ _€_-;_-* &quot;-&quot;??\ _€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9CA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2" borderId="1" xfId="2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right" vertical="center"/>
    </xf>
    <xf numFmtId="10" fontId="0" fillId="2" borderId="1" xfId="2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0" fontId="3" fillId="2" borderId="1" xfId="2" applyNumberFormat="1" applyFont="1" applyFill="1" applyBorder="1" applyAlignment="1">
      <alignment horizontal="center" vertical="center"/>
    </xf>
    <xf numFmtId="10" fontId="4" fillId="2" borderId="1" xfId="2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10" fontId="5" fillId="2" borderId="1" xfId="2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right"/>
    </xf>
    <xf numFmtId="0" fontId="2" fillId="2" borderId="1" xfId="0" quotePrefix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0" xfId="0" applyFill="1"/>
    <xf numFmtId="165" fontId="0" fillId="2" borderId="1" xfId="0" applyNumberForma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164" fontId="2" fillId="2" borderId="1" xfId="1" applyNumberFormat="1" applyFont="1" applyFill="1" applyBorder="1" applyAlignment="1">
      <alignment horizontal="center" vertical="center"/>
    </xf>
    <xf numFmtId="166" fontId="0" fillId="2" borderId="0" xfId="0" applyNumberFormat="1" applyFill="1"/>
    <xf numFmtId="167" fontId="0" fillId="2" borderId="1" xfId="0" applyNumberFormat="1" applyFill="1" applyBorder="1"/>
    <xf numFmtId="167" fontId="2" fillId="2" borderId="1" xfId="0" applyNumberFormat="1" applyFont="1" applyFill="1" applyBorder="1"/>
    <xf numFmtId="168" fontId="0" fillId="2" borderId="1" xfId="0" applyNumberFormat="1" applyFill="1" applyBorder="1"/>
    <xf numFmtId="164" fontId="0" fillId="2" borderId="1" xfId="0" applyNumberForma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10" fontId="0" fillId="3" borderId="1" xfId="2" applyNumberFormat="1" applyFont="1" applyFill="1" applyBorder="1" applyAlignment="1">
      <alignment horizontal="center" vertical="center"/>
    </xf>
    <xf numFmtId="10" fontId="2" fillId="3" borderId="1" xfId="2" applyNumberFormat="1" applyFont="1" applyFill="1" applyBorder="1" applyAlignment="1">
      <alignment horizontal="center" vertical="center"/>
    </xf>
    <xf numFmtId="168" fontId="2" fillId="2" borderId="1" xfId="0" applyNumberFormat="1" applyFont="1" applyFill="1" applyBorder="1"/>
    <xf numFmtId="9" fontId="0" fillId="3" borderId="1" xfId="2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10" fontId="0" fillId="4" borderId="1" xfId="2" applyNumberFormat="1" applyFont="1" applyFill="1" applyBorder="1" applyAlignment="1">
      <alignment horizontal="center" vertical="center"/>
    </xf>
    <xf numFmtId="9" fontId="0" fillId="4" borderId="1" xfId="2" applyFont="1" applyFill="1" applyBorder="1" applyAlignment="1">
      <alignment horizontal="center" vertical="center"/>
    </xf>
    <xf numFmtId="10" fontId="2" fillId="4" borderId="1" xfId="2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10" fontId="0" fillId="5" borderId="1" xfId="2" applyNumberFormat="1" applyFont="1" applyFill="1" applyBorder="1" applyAlignment="1">
      <alignment horizontal="center" vertical="center"/>
    </xf>
    <xf numFmtId="9" fontId="0" fillId="5" borderId="1" xfId="2" applyFont="1" applyFill="1" applyBorder="1" applyAlignment="1">
      <alignment horizontal="center" vertical="center"/>
    </xf>
    <xf numFmtId="10" fontId="3" fillId="4" borderId="1" xfId="2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164" fontId="2" fillId="2" borderId="1" xfId="0" applyNumberFormat="1" applyFont="1" applyFill="1" applyBorder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5" fillId="2" borderId="0" xfId="1" applyNumberFormat="1" applyFont="1" applyFill="1" applyBorder="1" applyAlignment="1">
      <alignment horizontal="center" vertical="center"/>
    </xf>
    <xf numFmtId="10" fontId="5" fillId="2" borderId="0" xfId="2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9" fontId="2" fillId="5" borderId="1" xfId="2" applyFont="1" applyFill="1" applyBorder="1" applyAlignment="1">
      <alignment horizontal="center" vertical="center"/>
    </xf>
    <xf numFmtId="10" fontId="2" fillId="5" borderId="1" xfId="2" applyNumberFormat="1" applyFont="1" applyFill="1" applyBorder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/>
    </xf>
    <xf numFmtId="9" fontId="2" fillId="6" borderId="1" xfId="2" applyFont="1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10" fontId="6" fillId="2" borderId="1" xfId="2" applyNumberFormat="1" applyFont="1" applyFill="1" applyBorder="1" applyAlignment="1">
      <alignment horizontal="center" vertical="center"/>
    </xf>
    <xf numFmtId="10" fontId="3" fillId="5" borderId="1" xfId="2" applyNumberFormat="1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165" fontId="0" fillId="2" borderId="0" xfId="0" applyNumberFormat="1" applyFill="1" applyBorder="1" applyAlignment="1">
      <alignment horizontal="center" vertical="center"/>
    </xf>
    <xf numFmtId="10" fontId="0" fillId="2" borderId="0" xfId="2" applyNumberFormat="1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C9CA"/>
      <color rgb="FFFFA7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Negoci!$C$4</c:f>
              <c:strCache>
                <c:ptCount val="1"/>
                <c:pt idx="0">
                  <c:v>OP01-ADZ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Negoci!$F$3:$J$3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xVal>
          <c:yVal>
            <c:numRef>
              <c:f>Negoci!$F$4:$J$4</c:f>
              <c:numCache>
                <c:formatCode>_-* #,##0_-;\-* #,##0_-;_-* "-"??_-;_-@_-</c:formatCode>
                <c:ptCount val="5"/>
                <c:pt idx="0">
                  <c:v>559</c:v>
                </c:pt>
                <c:pt idx="1">
                  <c:v>640</c:v>
                </c:pt>
                <c:pt idx="2">
                  <c:v>633</c:v>
                </c:pt>
                <c:pt idx="3">
                  <c:v>641</c:v>
                </c:pt>
                <c:pt idx="4">
                  <c:v>644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479-4CCA-B58F-67F0E8D9C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56815"/>
        <c:axId val="107647215"/>
      </c:scatterChart>
      <c:valAx>
        <c:axId val="10765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647215"/>
        <c:crosses val="autoZero"/>
        <c:crossBetween val="midCat"/>
      </c:valAx>
      <c:valAx>
        <c:axId val="10764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656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Negoci!$C$5</c:f>
              <c:strCache>
                <c:ptCount val="1"/>
                <c:pt idx="0">
                  <c:v>OP02-INF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Negoci!$F$3:$J$3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xVal>
          <c:yVal>
            <c:numRef>
              <c:f>Negoci!$F$5:$J$5</c:f>
              <c:numCache>
                <c:formatCode>_-* #,##0_-;\-* #,##0_-;_-* "-"??_-;_-@_-</c:formatCode>
                <c:ptCount val="5"/>
                <c:pt idx="0">
                  <c:v>1867</c:v>
                </c:pt>
                <c:pt idx="1">
                  <c:v>2223</c:v>
                </c:pt>
                <c:pt idx="2">
                  <c:v>2244</c:v>
                </c:pt>
                <c:pt idx="3">
                  <c:v>2291</c:v>
                </c:pt>
                <c:pt idx="4">
                  <c:v>2312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96-4B55-A3D5-DD02F089A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56815"/>
        <c:axId val="107647215"/>
      </c:scatterChart>
      <c:valAx>
        <c:axId val="10765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647215"/>
        <c:crosses val="autoZero"/>
        <c:crossBetween val="midCat"/>
      </c:valAx>
      <c:valAx>
        <c:axId val="10764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656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Negoci!$C$6</c:f>
              <c:strCache>
                <c:ptCount val="1"/>
                <c:pt idx="0">
                  <c:v>OP03-SST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Negoci!$F$3:$J$3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xVal>
          <c:yVal>
            <c:numRef>
              <c:f>Negoci!$F$6:$J$6</c:f>
              <c:numCache>
                <c:formatCode>_-* #,##0_-;\-* #,##0_-;_-* "-"??_-;_-@_-</c:formatCode>
                <c:ptCount val="5"/>
                <c:pt idx="0">
                  <c:v>2718</c:v>
                </c:pt>
                <c:pt idx="1">
                  <c:v>3553</c:v>
                </c:pt>
                <c:pt idx="2">
                  <c:v>3655</c:v>
                </c:pt>
                <c:pt idx="3">
                  <c:v>3770</c:v>
                </c:pt>
                <c:pt idx="4">
                  <c:v>4017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10-4B46-9754-699C38BC1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56815"/>
        <c:axId val="107647215"/>
      </c:scatterChart>
      <c:valAx>
        <c:axId val="10765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647215"/>
        <c:crosses val="autoZero"/>
        <c:crossBetween val="midCat"/>
      </c:valAx>
      <c:valAx>
        <c:axId val="10764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656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Negoci!$C$7</c:f>
              <c:strCache>
                <c:ptCount val="1"/>
                <c:pt idx="0">
                  <c:v>OP04-RJT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Negoci!$F$3:$J$3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xVal>
          <c:yVal>
            <c:numRef>
              <c:f>Negoci!$F$7:$J$7</c:f>
              <c:numCache>
                <c:formatCode>_-* #,##0_-;\-* #,##0_-;_-* "-"??_-;_-@_-</c:formatCode>
                <c:ptCount val="5"/>
                <c:pt idx="0">
                  <c:v>4215</c:v>
                </c:pt>
                <c:pt idx="1">
                  <c:v>5668</c:v>
                </c:pt>
                <c:pt idx="2">
                  <c:v>5813</c:v>
                </c:pt>
                <c:pt idx="3">
                  <c:v>6270</c:v>
                </c:pt>
                <c:pt idx="4">
                  <c:v>6494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F0-4A9F-9446-FC48906B9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56815"/>
        <c:axId val="107647215"/>
      </c:scatterChart>
      <c:valAx>
        <c:axId val="10765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647215"/>
        <c:crosses val="autoZero"/>
        <c:crossBetween val="midCat"/>
      </c:valAx>
      <c:valAx>
        <c:axId val="10764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656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Negoci!$C$8</c:f>
              <c:strCache>
                <c:ptCount val="1"/>
                <c:pt idx="0">
                  <c:v>OP05-ALS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Negoci!$F$3:$J$3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xVal>
          <c:yVal>
            <c:numRef>
              <c:f>Negoci!$F$8:$J$8</c:f>
              <c:numCache>
                <c:formatCode>_-* #,##0_-;\-* #,##0_-;_-* "-"??_-;_-@_-</c:formatCode>
                <c:ptCount val="5"/>
                <c:pt idx="0">
                  <c:v>617</c:v>
                </c:pt>
                <c:pt idx="1">
                  <c:v>594</c:v>
                </c:pt>
                <c:pt idx="2">
                  <c:v>593</c:v>
                </c:pt>
                <c:pt idx="3">
                  <c:v>578</c:v>
                </c:pt>
                <c:pt idx="4">
                  <c:v>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3B-4A9F-87E8-3B3D65000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56815"/>
        <c:axId val="107647215"/>
      </c:scatterChart>
      <c:valAx>
        <c:axId val="10765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647215"/>
        <c:crosses val="autoZero"/>
        <c:crossBetween val="midCat"/>
      </c:valAx>
      <c:valAx>
        <c:axId val="10764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656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Negoci!$C$9</c:f>
              <c:strCache>
                <c:ptCount val="1"/>
                <c:pt idx="0">
                  <c:v>OP06-EAM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Negoci!$F$3:$J$3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xVal>
          <c:yVal>
            <c:numRef>
              <c:f>Negoci!$F$9:$J$9</c:f>
              <c:numCache>
                <c:formatCode>_-* #,##0_-;\-* #,##0_-;_-* "-"??_-;_-@_-</c:formatCode>
                <c:ptCount val="5"/>
                <c:pt idx="0">
                  <c:v>2591</c:v>
                </c:pt>
                <c:pt idx="1">
                  <c:v>3033</c:v>
                </c:pt>
                <c:pt idx="2">
                  <c:v>3109</c:v>
                </c:pt>
                <c:pt idx="3">
                  <c:v>3211</c:v>
                </c:pt>
                <c:pt idx="4">
                  <c:v>3194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A0-4E43-9055-46D1B236D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56815"/>
        <c:axId val="107647215"/>
      </c:scatterChart>
      <c:valAx>
        <c:axId val="10765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647215"/>
        <c:crosses val="autoZero"/>
        <c:crossBetween val="midCat"/>
      </c:valAx>
      <c:valAx>
        <c:axId val="10764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656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Negoci!$C$10</c:f>
              <c:strCache>
                <c:ptCount val="1"/>
                <c:pt idx="0">
                  <c:v>OP07-CST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Negoci!$F$3:$J$3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xVal>
          <c:yVal>
            <c:numRef>
              <c:f>Negoci!$F$10:$J$10</c:f>
              <c:numCache>
                <c:formatCode>_-* #,##0_-;\-* #,##0_-;_-* "-"??_-;_-@_-</c:formatCode>
                <c:ptCount val="5"/>
                <c:pt idx="0">
                  <c:v>1765</c:v>
                </c:pt>
                <c:pt idx="1">
                  <c:v>2099</c:v>
                </c:pt>
                <c:pt idx="2">
                  <c:v>2121</c:v>
                </c:pt>
                <c:pt idx="3">
                  <c:v>2104</c:v>
                </c:pt>
                <c:pt idx="4">
                  <c:v>1868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33-431F-AE0C-648A6E3D7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56815"/>
        <c:axId val="107647215"/>
      </c:scatterChart>
      <c:valAx>
        <c:axId val="10765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647215"/>
        <c:crosses val="autoZero"/>
        <c:crossBetween val="midCat"/>
      </c:valAx>
      <c:valAx>
        <c:axId val="10764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656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Negoci!$C$11</c:f>
              <c:strCache>
                <c:ptCount val="1"/>
                <c:pt idx="0">
                  <c:v>OP08-MDN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Negoci!$F$3:$J$3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xVal>
          <c:yVal>
            <c:numRef>
              <c:f>Negoci!$F$11:$J$11</c:f>
              <c:numCache>
                <c:formatCode>_-* #,##0_-;\-* #,##0_-;_-* "-"??_-;_-@_-</c:formatCode>
                <c:ptCount val="5"/>
                <c:pt idx="0">
                  <c:v>1503</c:v>
                </c:pt>
                <c:pt idx="1">
                  <c:v>1912</c:v>
                </c:pt>
                <c:pt idx="2">
                  <c:v>1966</c:v>
                </c:pt>
                <c:pt idx="3">
                  <c:v>1928</c:v>
                </c:pt>
                <c:pt idx="4">
                  <c:v>1947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4E-4ACF-AF70-9007836A5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56815"/>
        <c:axId val="107647215"/>
      </c:scatterChart>
      <c:valAx>
        <c:axId val="10765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647215"/>
        <c:crosses val="autoZero"/>
        <c:crossBetween val="midCat"/>
      </c:valAx>
      <c:valAx>
        <c:axId val="10764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656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Negoci!$C$12</c:f>
              <c:strCache>
                <c:ptCount val="1"/>
                <c:pt idx="0">
                  <c:v>OP09-JFG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Negoci!$F$3:$J$3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xVal>
          <c:yVal>
            <c:numRef>
              <c:f>Negoci!$F$12:$J$12</c:f>
              <c:numCache>
                <c:formatCode>_-* #,##0_-;\-* #,##0_-;_-* "-"??_-;_-@_-</c:formatCode>
                <c:ptCount val="5"/>
                <c:pt idx="0">
                  <c:v>23</c:v>
                </c:pt>
                <c:pt idx="1">
                  <c:v>23</c:v>
                </c:pt>
                <c:pt idx="2">
                  <c:v>22</c:v>
                </c:pt>
                <c:pt idx="3">
                  <c:v>29</c:v>
                </c:pt>
                <c:pt idx="4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1F-4491-8808-0D00DC86C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56815"/>
        <c:axId val="107647215"/>
      </c:scatterChart>
      <c:valAx>
        <c:axId val="10765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647215"/>
        <c:crosses val="autoZero"/>
        <c:crossBetween val="midCat"/>
      </c:valAx>
      <c:valAx>
        <c:axId val="10764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656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Negoci!$G$3:$J$3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f>Negoci!$G$14:$J$14</c:f>
              <c:numCache>
                <c:formatCode>_-* #,##0_-;\-* #,##0_-;_-* "-"??_-;_-@_-</c:formatCode>
                <c:ptCount val="4"/>
                <c:pt idx="0">
                  <c:v>3887</c:v>
                </c:pt>
                <c:pt idx="1">
                  <c:v>411</c:v>
                </c:pt>
                <c:pt idx="2">
                  <c:v>666</c:v>
                </c:pt>
                <c:pt idx="3">
                  <c:v>246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Negoci!#REF!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6A7-44A9-AF81-B9D44B79B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1660863"/>
        <c:axId val="1161662783"/>
      </c:lineChart>
      <c:catAx>
        <c:axId val="116166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1662783"/>
        <c:crosses val="autoZero"/>
        <c:auto val="1"/>
        <c:lblAlgn val="ctr"/>
        <c:lblOffset val="100"/>
        <c:noMultiLvlLbl val="0"/>
      </c:catAx>
      <c:valAx>
        <c:axId val="116166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1660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16</xdr:row>
      <xdr:rowOff>160020</xdr:rowOff>
    </xdr:from>
    <xdr:to>
      <xdr:col>4</xdr:col>
      <xdr:colOff>304800</xdr:colOff>
      <xdr:row>29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CA91C9-327F-3A3C-9E71-D13C8079D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358140</xdr:colOff>
      <xdr:row>16</xdr:row>
      <xdr:rowOff>160020</xdr:rowOff>
    </xdr:from>
    <xdr:to>
      <xdr:col>10</xdr:col>
      <xdr:colOff>0</xdr:colOff>
      <xdr:row>29</xdr:row>
      <xdr:rowOff>91440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53AB3B-AC0E-4448-B9E5-51407CB4A5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60960</xdr:colOff>
      <xdr:row>16</xdr:row>
      <xdr:rowOff>152400</xdr:rowOff>
    </xdr:from>
    <xdr:to>
      <xdr:col>15</xdr:col>
      <xdr:colOff>22860</xdr:colOff>
      <xdr:row>29</xdr:row>
      <xdr:rowOff>83820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618CF94-AC88-4BDD-81B5-66F899911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160020</xdr:colOff>
      <xdr:row>16</xdr:row>
      <xdr:rowOff>160020</xdr:rowOff>
    </xdr:from>
    <xdr:to>
      <xdr:col>19</xdr:col>
      <xdr:colOff>304800</xdr:colOff>
      <xdr:row>29</xdr:row>
      <xdr:rowOff>91440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035561B-D3A3-4989-939B-0244939822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213360</xdr:colOff>
      <xdr:row>29</xdr:row>
      <xdr:rowOff>175260</xdr:rowOff>
    </xdr:from>
    <xdr:to>
      <xdr:col>4</xdr:col>
      <xdr:colOff>304800</xdr:colOff>
      <xdr:row>42</xdr:row>
      <xdr:rowOff>106680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3D7591B-20E1-4F25-8B1F-D49BCDE93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358140</xdr:colOff>
      <xdr:row>30</xdr:row>
      <xdr:rowOff>7620</xdr:rowOff>
    </xdr:from>
    <xdr:to>
      <xdr:col>10</xdr:col>
      <xdr:colOff>0</xdr:colOff>
      <xdr:row>42</xdr:row>
      <xdr:rowOff>121920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95EC7A0-3B03-4FBE-A742-716BD07847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30</xdr:row>
      <xdr:rowOff>7620</xdr:rowOff>
    </xdr:from>
    <xdr:to>
      <xdr:col>14</xdr:col>
      <xdr:colOff>754380</xdr:colOff>
      <xdr:row>42</xdr:row>
      <xdr:rowOff>121920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D5BDBD2-DE5F-4561-B39A-7E362389BE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38100</xdr:colOff>
      <xdr:row>30</xdr:row>
      <xdr:rowOff>0</xdr:rowOff>
    </xdr:from>
    <xdr:to>
      <xdr:col>19</xdr:col>
      <xdr:colOff>182880</xdr:colOff>
      <xdr:row>42</xdr:row>
      <xdr:rowOff>114300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4708FFB-481A-47AA-8036-6B37EB0B58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213360</xdr:colOff>
      <xdr:row>42</xdr:row>
      <xdr:rowOff>175260</xdr:rowOff>
    </xdr:from>
    <xdr:to>
      <xdr:col>4</xdr:col>
      <xdr:colOff>304800</xdr:colOff>
      <xdr:row>55</xdr:row>
      <xdr:rowOff>106680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DC58271-1757-4D63-B402-3A31D0721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381000</xdr:colOff>
      <xdr:row>1</xdr:row>
      <xdr:rowOff>57150</xdr:rowOff>
    </xdr:from>
    <xdr:to>
      <xdr:col>23</xdr:col>
      <xdr:colOff>198120</xdr:colOff>
      <xdr:row>14</xdr:row>
      <xdr:rowOff>57150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39F4B853-8E90-0915-9E90-32BE1A7E3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DF6C-9689-4DF7-8E19-EF69AF279EAE}">
  <dimension ref="B2:F30"/>
  <sheetViews>
    <sheetView workbookViewId="0">
      <selection activeCell="B2" sqref="B2"/>
    </sheetView>
  </sheetViews>
  <sheetFormatPr baseColWidth="10" defaultRowHeight="14.4" x14ac:dyDescent="0.3"/>
  <cols>
    <col min="1" max="1" width="11.5546875" style="23"/>
    <col min="2" max="2" width="19.109375" style="23" customWidth="1"/>
    <col min="3" max="3" width="11.88671875" style="23" bestFit="1" customWidth="1"/>
    <col min="4" max="4" width="9.21875" style="23" bestFit="1" customWidth="1"/>
    <col min="5" max="5" width="16.33203125" style="23" bestFit="1" customWidth="1"/>
    <col min="6" max="16384" width="11.5546875" style="23"/>
  </cols>
  <sheetData>
    <row r="2" spans="2:5" ht="28.8" x14ac:dyDescent="0.3">
      <c r="B2" s="22" t="s">
        <v>0</v>
      </c>
      <c r="C2" s="21" t="s">
        <v>25</v>
      </c>
      <c r="D2" s="21" t="s">
        <v>28</v>
      </c>
      <c r="E2" s="7" t="s">
        <v>26</v>
      </c>
    </row>
    <row r="3" spans="2:5" x14ac:dyDescent="0.3">
      <c r="B3" s="4" t="s">
        <v>3</v>
      </c>
      <c r="C3" s="6">
        <v>644</v>
      </c>
      <c r="D3" s="24">
        <v>1.3599999999999999</v>
      </c>
      <c r="E3" s="30">
        <f t="shared" ref="E3:E12" si="0">1000*D3/C3</f>
        <v>2.1118012422360244</v>
      </c>
    </row>
    <row r="4" spans="2:5" x14ac:dyDescent="0.3">
      <c r="B4" s="4" t="s">
        <v>7</v>
      </c>
      <c r="C4" s="6">
        <v>2312</v>
      </c>
      <c r="D4" s="24">
        <v>3.3</v>
      </c>
      <c r="E4" s="30">
        <f t="shared" si="0"/>
        <v>1.4273356401384083</v>
      </c>
    </row>
    <row r="5" spans="2:5" x14ac:dyDescent="0.3">
      <c r="B5" s="4" t="s">
        <v>9</v>
      </c>
      <c r="C5" s="6">
        <v>4017</v>
      </c>
      <c r="D5" s="24">
        <v>8.5399999999999991</v>
      </c>
      <c r="E5" s="30">
        <f t="shared" si="0"/>
        <v>2.1259646502364951</v>
      </c>
    </row>
    <row r="6" spans="2:5" x14ac:dyDescent="0.3">
      <c r="B6" s="4" t="s">
        <v>8</v>
      </c>
      <c r="C6" s="6">
        <v>6494</v>
      </c>
      <c r="D6" s="24">
        <v>12.61</v>
      </c>
      <c r="E6" s="30">
        <f t="shared" si="0"/>
        <v>1.9417924237757931</v>
      </c>
    </row>
    <row r="7" spans="2:5" x14ac:dyDescent="0.3">
      <c r="B7" s="4" t="s">
        <v>4</v>
      </c>
      <c r="C7" s="6">
        <v>562</v>
      </c>
      <c r="D7" s="24">
        <v>1.1199999999999999</v>
      </c>
      <c r="E7" s="30">
        <f t="shared" si="0"/>
        <v>1.9928825622775797</v>
      </c>
    </row>
    <row r="8" spans="2:5" x14ac:dyDescent="0.3">
      <c r="B8" s="4" t="s">
        <v>6</v>
      </c>
      <c r="C8" s="6">
        <v>3194</v>
      </c>
      <c r="D8" s="24">
        <v>5.09</v>
      </c>
      <c r="E8" s="30">
        <f t="shared" si="0"/>
        <v>1.5936130244207889</v>
      </c>
    </row>
    <row r="9" spans="2:5" x14ac:dyDescent="0.3">
      <c r="B9" s="4" t="s">
        <v>5</v>
      </c>
      <c r="C9" s="6">
        <v>1868</v>
      </c>
      <c r="D9" s="24">
        <v>3.47</v>
      </c>
      <c r="E9" s="30">
        <f t="shared" si="0"/>
        <v>1.8576017130620985</v>
      </c>
    </row>
    <row r="10" spans="2:5" x14ac:dyDescent="0.3">
      <c r="B10" s="4" t="s">
        <v>13</v>
      </c>
      <c r="C10" s="6">
        <v>1947</v>
      </c>
      <c r="D10" s="24">
        <v>4.17</v>
      </c>
      <c r="E10" s="30">
        <f t="shared" si="0"/>
        <v>2.1417565485362093</v>
      </c>
    </row>
    <row r="11" spans="2:5" x14ac:dyDescent="0.3">
      <c r="B11" s="4" t="s">
        <v>10</v>
      </c>
      <c r="C11" s="6">
        <v>30</v>
      </c>
      <c r="D11" s="24">
        <v>0.03</v>
      </c>
      <c r="E11" s="30">
        <f t="shared" si="0"/>
        <v>1</v>
      </c>
    </row>
    <row r="12" spans="2:5" x14ac:dyDescent="0.3">
      <c r="B12" s="2" t="s">
        <v>2</v>
      </c>
      <c r="C12" s="28">
        <f>SUM(C3:C11)</f>
        <v>21068</v>
      </c>
      <c r="D12" s="25">
        <f>SUM(D3:D11)</f>
        <v>39.69</v>
      </c>
      <c r="E12" s="31">
        <f t="shared" si="0"/>
        <v>1.8838997531801784</v>
      </c>
    </row>
    <row r="14" spans="2:5" x14ac:dyDescent="0.3">
      <c r="B14" s="22" t="s">
        <v>50</v>
      </c>
      <c r="C14" s="21" t="s">
        <v>49</v>
      </c>
      <c r="D14" s="2" t="s">
        <v>47</v>
      </c>
    </row>
    <row r="15" spans="2:5" x14ac:dyDescent="0.3">
      <c r="B15" s="4" t="s">
        <v>19</v>
      </c>
      <c r="C15" s="24">
        <v>11.32</v>
      </c>
      <c r="D15" s="10">
        <f>C15/$C$23</f>
        <v>0.27137822741111883</v>
      </c>
    </row>
    <row r="16" spans="2:5" x14ac:dyDescent="0.3">
      <c r="B16" s="4" t="s">
        <v>17</v>
      </c>
      <c r="C16" s="24">
        <v>5.64</v>
      </c>
      <c r="D16" s="10">
        <f t="shared" ref="D16:D22" si="1">C16/$C$23</f>
        <v>0.13520964687267756</v>
      </c>
    </row>
    <row r="17" spans="2:6" x14ac:dyDescent="0.3">
      <c r="B17" s="4" t="s">
        <v>46</v>
      </c>
      <c r="C17" s="24">
        <v>6.91</v>
      </c>
      <c r="D17" s="10">
        <f t="shared" si="1"/>
        <v>0.16565579076067413</v>
      </c>
    </row>
    <row r="18" spans="2:6" x14ac:dyDescent="0.3">
      <c r="B18" s="4" t="s">
        <v>20</v>
      </c>
      <c r="C18" s="24">
        <v>5.91</v>
      </c>
      <c r="D18" s="10">
        <f t="shared" si="1"/>
        <v>0.14168244911658237</v>
      </c>
    </row>
    <row r="19" spans="2:6" x14ac:dyDescent="0.3">
      <c r="B19" s="4" t="s">
        <v>21</v>
      </c>
      <c r="C19" s="24">
        <v>4.7799999999999994</v>
      </c>
      <c r="D19" s="10">
        <f t="shared" si="1"/>
        <v>0.11459257305875864</v>
      </c>
    </row>
    <row r="20" spans="2:6" x14ac:dyDescent="0.3">
      <c r="B20" s="4" t="s">
        <v>18</v>
      </c>
      <c r="C20" s="24">
        <v>6.71</v>
      </c>
      <c r="D20" s="10">
        <f t="shared" si="1"/>
        <v>0.16086112243185577</v>
      </c>
    </row>
    <row r="21" spans="2:6" x14ac:dyDescent="0.3">
      <c r="B21" s="4" t="s">
        <v>22</v>
      </c>
      <c r="C21" s="24">
        <v>0.44</v>
      </c>
      <c r="D21" s="10">
        <f t="shared" si="1"/>
        <v>1.0548270323400378E-2</v>
      </c>
    </row>
    <row r="22" spans="2:6" x14ac:dyDescent="0.3">
      <c r="B22" s="4" t="s">
        <v>23</v>
      </c>
      <c r="C22" s="24">
        <v>3.0000000000000001E-3</v>
      </c>
      <c r="D22" s="10">
        <f t="shared" si="1"/>
        <v>7.1920024932275309E-5</v>
      </c>
      <c r="E22" s="75"/>
    </row>
    <row r="23" spans="2:6" x14ac:dyDescent="0.3">
      <c r="B23" s="2" t="s">
        <v>2</v>
      </c>
      <c r="C23" s="25">
        <f>SUM(C15:C22)</f>
        <v>41.713000000000001</v>
      </c>
      <c r="D23" s="77"/>
      <c r="E23" s="76"/>
      <c r="F23" s="64"/>
    </row>
    <row r="30" spans="2:6" ht="1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85AD-4EE5-4ADF-ADA5-C3ED4F7619E8}">
  <dimension ref="B2:Q30"/>
  <sheetViews>
    <sheetView workbookViewId="0">
      <selection activeCell="O3" sqref="O3:Q3"/>
    </sheetView>
  </sheetViews>
  <sheetFormatPr baseColWidth="10" defaultRowHeight="14.4" x14ac:dyDescent="0.3"/>
  <cols>
    <col min="1" max="1" width="6.6640625" style="1" customWidth="1"/>
    <col min="2" max="3" width="11.5546875" style="1"/>
    <col min="4" max="4" width="12.33203125" style="1" bestFit="1" customWidth="1"/>
    <col min="5" max="5" width="12.21875" style="1" bestFit="1" customWidth="1"/>
    <col min="6" max="10" width="7.88671875" style="1" bestFit="1" customWidth="1"/>
    <col min="11" max="13" width="11" style="1" customWidth="1"/>
    <col min="14" max="16384" width="11.5546875" style="1"/>
  </cols>
  <sheetData>
    <row r="2" spans="2:17" x14ac:dyDescent="0.3">
      <c r="B2" s="26" t="s">
        <v>14</v>
      </c>
      <c r="C2" s="27"/>
      <c r="D2" s="65" t="s">
        <v>12</v>
      </c>
      <c r="E2" s="65"/>
      <c r="F2" s="65" t="s">
        <v>45</v>
      </c>
      <c r="G2" s="65"/>
      <c r="H2" s="65"/>
      <c r="I2" s="65"/>
      <c r="J2" s="65"/>
      <c r="K2" s="65" t="s">
        <v>44</v>
      </c>
      <c r="L2" s="65"/>
      <c r="M2" s="65"/>
      <c r="N2" s="65"/>
      <c r="O2" s="65" t="s">
        <v>48</v>
      </c>
      <c r="P2" s="65"/>
      <c r="Q2" s="65"/>
    </row>
    <row r="3" spans="2:17" ht="43.2" x14ac:dyDescent="0.3">
      <c r="B3" s="2" t="s">
        <v>1</v>
      </c>
      <c r="C3" s="8" t="s">
        <v>0</v>
      </c>
      <c r="D3" s="7" t="s">
        <v>11</v>
      </c>
      <c r="E3" s="7" t="s">
        <v>15</v>
      </c>
      <c r="F3" s="2">
        <v>2022</v>
      </c>
      <c r="G3" s="2">
        <v>2023</v>
      </c>
      <c r="H3" s="2">
        <v>2024</v>
      </c>
      <c r="I3" s="2">
        <v>2025</v>
      </c>
      <c r="J3" s="20">
        <v>2026</v>
      </c>
      <c r="K3" s="7" t="s">
        <v>16</v>
      </c>
      <c r="L3" s="7" t="s">
        <v>35</v>
      </c>
      <c r="M3" s="7" t="s">
        <v>37</v>
      </c>
      <c r="N3" s="7" t="s">
        <v>36</v>
      </c>
      <c r="O3" s="2" t="s">
        <v>38</v>
      </c>
      <c r="P3" s="2" t="s">
        <v>39</v>
      </c>
      <c r="Q3" s="2" t="s">
        <v>40</v>
      </c>
    </row>
    <row r="4" spans="2:17" x14ac:dyDescent="0.3">
      <c r="B4" s="3">
        <v>46139</v>
      </c>
      <c r="C4" s="11" t="s">
        <v>3</v>
      </c>
      <c r="D4" s="6">
        <v>9895</v>
      </c>
      <c r="E4" s="10">
        <f t="shared" ref="E4:E13" si="0">J4/D4</f>
        <v>6.5083375442142502E-2</v>
      </c>
      <c r="F4" s="6">
        <v>559</v>
      </c>
      <c r="G4" s="6">
        <v>640</v>
      </c>
      <c r="H4" s="6">
        <v>633</v>
      </c>
      <c r="I4" s="6">
        <v>641</v>
      </c>
      <c r="J4" s="6">
        <v>644</v>
      </c>
      <c r="K4" s="10">
        <f t="shared" ref="K4:K13" si="1">((J4/F4)^(1/(2026-2022)))-1</f>
        <v>3.6020895709149237E-2</v>
      </c>
      <c r="L4" s="10">
        <f t="shared" ref="L4:L13" si="2">((J4/G4)^(1/(2026-2023)))-1</f>
        <v>2.0790080634576213E-3</v>
      </c>
      <c r="M4" s="10">
        <f t="shared" ref="M4:M13" si="3">((J4/H4)^(1/(2026-2024)))-1</f>
        <v>8.6513605506117752E-3</v>
      </c>
      <c r="N4" s="10">
        <f t="shared" ref="N4:N13" si="4">(J4-I4)/I4</f>
        <v>4.6801872074882997E-3</v>
      </c>
      <c r="O4" s="60">
        <f>MIN(L4:N4)</f>
        <v>2.0790080634576213E-3</v>
      </c>
      <c r="P4" s="60">
        <f>AVERAGE(L4:N4)</f>
        <v>5.1368519405192324E-3</v>
      </c>
      <c r="Q4" s="60">
        <f>MAX(L4:N4)</f>
        <v>8.6513605506117752E-3</v>
      </c>
    </row>
    <row r="5" spans="2:17" x14ac:dyDescent="0.3">
      <c r="B5" s="3">
        <v>46139</v>
      </c>
      <c r="C5" s="11" t="s">
        <v>7</v>
      </c>
      <c r="D5" s="6">
        <v>14810</v>
      </c>
      <c r="E5" s="10">
        <f t="shared" si="0"/>
        <v>0.15611073598919648</v>
      </c>
      <c r="F5" s="6">
        <v>1867</v>
      </c>
      <c r="G5" s="6">
        <v>2223</v>
      </c>
      <c r="H5" s="6">
        <v>2244</v>
      </c>
      <c r="I5" s="6">
        <v>2291</v>
      </c>
      <c r="J5" s="6">
        <v>2312</v>
      </c>
      <c r="K5" s="10">
        <f t="shared" si="1"/>
        <v>5.4898993475040347E-2</v>
      </c>
      <c r="L5" s="10">
        <f t="shared" si="2"/>
        <v>1.3171089896025778E-2</v>
      </c>
      <c r="M5" s="10">
        <f t="shared" si="3"/>
        <v>1.5038437845104502E-2</v>
      </c>
      <c r="N5" s="10">
        <f t="shared" si="4"/>
        <v>9.1663029244871234E-3</v>
      </c>
      <c r="O5" s="60">
        <f t="shared" ref="O5:O13" si="5">MIN(L5:N5)</f>
        <v>9.1663029244871234E-3</v>
      </c>
      <c r="P5" s="60">
        <f t="shared" ref="P5:P13" si="6">AVERAGE(L5:N5)</f>
        <v>1.2458610221872468E-2</v>
      </c>
      <c r="Q5" s="60">
        <f t="shared" ref="Q5:Q13" si="7">MAX(L5:N5)</f>
        <v>1.5038437845104502E-2</v>
      </c>
    </row>
    <row r="6" spans="2:17" x14ac:dyDescent="0.3">
      <c r="B6" s="3">
        <v>46139</v>
      </c>
      <c r="C6" s="11" t="s">
        <v>9</v>
      </c>
      <c r="D6" s="6">
        <v>11968</v>
      </c>
      <c r="E6" s="13">
        <f t="shared" si="0"/>
        <v>0.33564505347593582</v>
      </c>
      <c r="F6" s="6">
        <v>2718</v>
      </c>
      <c r="G6" s="6">
        <v>3553</v>
      </c>
      <c r="H6" s="6">
        <v>3655</v>
      </c>
      <c r="I6" s="6">
        <v>3770</v>
      </c>
      <c r="J6" s="6">
        <v>4017</v>
      </c>
      <c r="K6" s="10">
        <f t="shared" si="1"/>
        <v>0.10258757678757058</v>
      </c>
      <c r="L6" s="10">
        <f t="shared" si="2"/>
        <v>4.1762870684412645E-2</v>
      </c>
      <c r="M6" s="10">
        <f t="shared" si="3"/>
        <v>4.8352234537962335E-2</v>
      </c>
      <c r="N6" s="10">
        <f t="shared" si="4"/>
        <v>6.5517241379310351E-2</v>
      </c>
      <c r="O6" s="60">
        <f t="shared" si="5"/>
        <v>4.1762870684412645E-2</v>
      </c>
      <c r="P6" s="60">
        <f t="shared" si="6"/>
        <v>5.1877448867228448E-2</v>
      </c>
      <c r="Q6" s="60">
        <f t="shared" si="7"/>
        <v>6.5517241379310351E-2</v>
      </c>
    </row>
    <row r="7" spans="2:17" x14ac:dyDescent="0.3">
      <c r="B7" s="3">
        <v>46139</v>
      </c>
      <c r="C7" s="11" t="s">
        <v>8</v>
      </c>
      <c r="D7" s="6">
        <v>17010</v>
      </c>
      <c r="E7" s="13">
        <f t="shared" si="0"/>
        <v>0.38177542621987065</v>
      </c>
      <c r="F7" s="6">
        <v>4215</v>
      </c>
      <c r="G7" s="6">
        <v>5668</v>
      </c>
      <c r="H7" s="6">
        <v>5813</v>
      </c>
      <c r="I7" s="6">
        <v>6270</v>
      </c>
      <c r="J7" s="6">
        <v>6494</v>
      </c>
      <c r="K7" s="10">
        <f t="shared" si="1"/>
        <v>0.11411154934807288</v>
      </c>
      <c r="L7" s="10">
        <f t="shared" si="2"/>
        <v>4.6391366081032004E-2</v>
      </c>
      <c r="M7" s="10">
        <f t="shared" si="3"/>
        <v>5.6953742033632793E-2</v>
      </c>
      <c r="N7" s="10">
        <f t="shared" si="4"/>
        <v>3.5725677830940987E-2</v>
      </c>
      <c r="O7" s="60">
        <f t="shared" si="5"/>
        <v>3.5725677830940987E-2</v>
      </c>
      <c r="P7" s="60">
        <f t="shared" si="6"/>
        <v>4.6356928648535266E-2</v>
      </c>
      <c r="Q7" s="60">
        <f t="shared" si="7"/>
        <v>5.6953742033632793E-2</v>
      </c>
    </row>
    <row r="8" spans="2:17" x14ac:dyDescent="0.3">
      <c r="B8" s="3">
        <v>46139</v>
      </c>
      <c r="C8" s="11" t="s">
        <v>4</v>
      </c>
      <c r="D8" s="6">
        <v>3247</v>
      </c>
      <c r="E8" s="10">
        <f t="shared" si="0"/>
        <v>0.17308284570372651</v>
      </c>
      <c r="F8" s="6">
        <v>617</v>
      </c>
      <c r="G8" s="6">
        <v>594</v>
      </c>
      <c r="H8" s="6">
        <v>593</v>
      </c>
      <c r="I8" s="6">
        <v>578</v>
      </c>
      <c r="J8" s="6">
        <v>562</v>
      </c>
      <c r="K8" s="10">
        <f t="shared" si="1"/>
        <v>-2.3071481117561965E-2</v>
      </c>
      <c r="L8" s="12">
        <f t="shared" si="2"/>
        <v>-1.8289829737539454E-2</v>
      </c>
      <c r="M8" s="12">
        <f t="shared" si="3"/>
        <v>-2.6489116581171812E-2</v>
      </c>
      <c r="N8" s="12">
        <f t="shared" si="4"/>
        <v>-2.768166089965398E-2</v>
      </c>
      <c r="O8" s="63">
        <f t="shared" si="5"/>
        <v>-2.768166089965398E-2</v>
      </c>
      <c r="P8" s="63">
        <f t="shared" si="6"/>
        <v>-2.4153535739455084E-2</v>
      </c>
      <c r="Q8" s="63">
        <f t="shared" si="7"/>
        <v>-1.8289829737539454E-2</v>
      </c>
    </row>
    <row r="9" spans="2:17" x14ac:dyDescent="0.3">
      <c r="B9" s="3">
        <v>46139</v>
      </c>
      <c r="C9" s="11" t="s">
        <v>6</v>
      </c>
      <c r="D9" s="6">
        <v>9995</v>
      </c>
      <c r="E9" s="13">
        <f t="shared" si="0"/>
        <v>0.31955977988994499</v>
      </c>
      <c r="F9" s="6">
        <v>2591</v>
      </c>
      <c r="G9" s="6">
        <v>3033</v>
      </c>
      <c r="H9" s="6">
        <v>3109</v>
      </c>
      <c r="I9" s="6">
        <v>3211</v>
      </c>
      <c r="J9" s="6">
        <v>3194</v>
      </c>
      <c r="K9" s="10">
        <f t="shared" si="1"/>
        <v>5.3699744403881811E-2</v>
      </c>
      <c r="L9" s="10">
        <f t="shared" si="2"/>
        <v>1.739008408361431E-2</v>
      </c>
      <c r="M9" s="10">
        <f t="shared" si="3"/>
        <v>1.3577811863100253E-2</v>
      </c>
      <c r="N9" s="12">
        <f t="shared" si="4"/>
        <v>-5.2943008408595452E-3</v>
      </c>
      <c r="O9" s="63">
        <f t="shared" si="5"/>
        <v>-5.2943008408595452E-3</v>
      </c>
      <c r="P9" s="60">
        <f t="shared" si="6"/>
        <v>8.5578650352850071E-3</v>
      </c>
      <c r="Q9" s="60">
        <f t="shared" si="7"/>
        <v>1.739008408361431E-2</v>
      </c>
    </row>
    <row r="10" spans="2:17" x14ac:dyDescent="0.3">
      <c r="B10" s="3">
        <v>46139</v>
      </c>
      <c r="C10" s="11" t="s">
        <v>5</v>
      </c>
      <c r="D10" s="6">
        <v>13820</v>
      </c>
      <c r="E10" s="10">
        <f t="shared" si="0"/>
        <v>0.13516642547033286</v>
      </c>
      <c r="F10" s="6">
        <v>1765</v>
      </c>
      <c r="G10" s="6">
        <v>2099</v>
      </c>
      <c r="H10" s="6">
        <v>2121</v>
      </c>
      <c r="I10" s="6">
        <v>2104</v>
      </c>
      <c r="J10" s="6">
        <v>1868</v>
      </c>
      <c r="K10" s="10">
        <f t="shared" si="1"/>
        <v>1.4280417053843975E-2</v>
      </c>
      <c r="L10" s="12">
        <f t="shared" si="2"/>
        <v>-3.8118708632347342E-2</v>
      </c>
      <c r="M10" s="12">
        <f t="shared" si="3"/>
        <v>-6.1534953718104246E-2</v>
      </c>
      <c r="N10" s="12">
        <f t="shared" si="4"/>
        <v>-0.11216730038022814</v>
      </c>
      <c r="O10" s="63">
        <f t="shared" si="5"/>
        <v>-0.11216730038022814</v>
      </c>
      <c r="P10" s="63">
        <f t="shared" si="6"/>
        <v>-7.0606987576893251E-2</v>
      </c>
      <c r="Q10" s="63">
        <f t="shared" si="7"/>
        <v>-3.8118708632347342E-2</v>
      </c>
    </row>
    <row r="11" spans="2:17" x14ac:dyDescent="0.3">
      <c r="B11" s="3">
        <v>46139</v>
      </c>
      <c r="C11" s="11" t="s">
        <v>13</v>
      </c>
      <c r="D11" s="6">
        <v>11878</v>
      </c>
      <c r="E11" s="10">
        <f t="shared" si="0"/>
        <v>0.16391648425660885</v>
      </c>
      <c r="F11" s="6">
        <v>1503</v>
      </c>
      <c r="G11" s="6">
        <v>1912</v>
      </c>
      <c r="H11" s="6">
        <v>1966</v>
      </c>
      <c r="I11" s="6">
        <v>1928</v>
      </c>
      <c r="J11" s="6">
        <v>1947</v>
      </c>
      <c r="K11" s="10">
        <f t="shared" si="1"/>
        <v>6.6846023362497009E-2</v>
      </c>
      <c r="L11" s="10">
        <f t="shared" si="2"/>
        <v>6.0649550664346741E-3</v>
      </c>
      <c r="M11" s="12">
        <f t="shared" si="3"/>
        <v>-4.8438780677030335E-3</v>
      </c>
      <c r="N11" s="10">
        <f t="shared" si="4"/>
        <v>9.8547717842323648E-3</v>
      </c>
      <c r="O11" s="63">
        <f t="shared" si="5"/>
        <v>-4.8438780677030335E-3</v>
      </c>
      <c r="P11" s="60">
        <f t="shared" si="6"/>
        <v>3.6919495943213351E-3</v>
      </c>
      <c r="Q11" s="60">
        <f t="shared" si="7"/>
        <v>9.8547717842323648E-3</v>
      </c>
    </row>
    <row r="12" spans="2:17" x14ac:dyDescent="0.3">
      <c r="B12" s="3">
        <v>46139</v>
      </c>
      <c r="C12" s="11" t="s">
        <v>10</v>
      </c>
      <c r="D12" s="6">
        <v>295</v>
      </c>
      <c r="E12" s="10">
        <f t="shared" si="0"/>
        <v>0.10169491525423729</v>
      </c>
      <c r="F12" s="6">
        <v>23</v>
      </c>
      <c r="G12" s="6">
        <v>23</v>
      </c>
      <c r="H12" s="6">
        <v>22</v>
      </c>
      <c r="I12" s="6">
        <v>29</v>
      </c>
      <c r="J12" s="6">
        <v>30</v>
      </c>
      <c r="K12" s="10">
        <f t="shared" si="1"/>
        <v>6.8681655798545682E-2</v>
      </c>
      <c r="L12" s="10">
        <f t="shared" si="2"/>
        <v>9.2608243623279352E-2</v>
      </c>
      <c r="M12" s="10">
        <f t="shared" si="3"/>
        <v>0.16774841624228443</v>
      </c>
      <c r="N12" s="10">
        <f t="shared" si="4"/>
        <v>3.4482758620689655E-2</v>
      </c>
      <c r="O12" s="60">
        <f t="shared" si="5"/>
        <v>3.4482758620689655E-2</v>
      </c>
      <c r="P12" s="60">
        <f t="shared" si="6"/>
        <v>9.8279806162084482E-2</v>
      </c>
      <c r="Q12" s="60">
        <f t="shared" si="7"/>
        <v>0.16774841624228443</v>
      </c>
    </row>
    <row r="13" spans="2:17" x14ac:dyDescent="0.3">
      <c r="B13" s="14">
        <v>46139</v>
      </c>
      <c r="C13" s="15" t="s">
        <v>2</v>
      </c>
      <c r="D13" s="16">
        <f>SUM(D4:D12)</f>
        <v>92918</v>
      </c>
      <c r="E13" s="17">
        <f t="shared" si="0"/>
        <v>0.22673755354183259</v>
      </c>
      <c r="F13" s="16">
        <f>SUM(F4:F12)</f>
        <v>15858</v>
      </c>
      <c r="G13" s="16">
        <f>SUM(G4:G12)</f>
        <v>19745</v>
      </c>
      <c r="H13" s="16">
        <f>SUM(H4:H12)</f>
        <v>20156</v>
      </c>
      <c r="I13" s="16">
        <f t="shared" ref="I13" si="8">SUM(I4:I12)</f>
        <v>20822</v>
      </c>
      <c r="J13" s="16">
        <f>SUM(J4:J12)</f>
        <v>21068</v>
      </c>
      <c r="K13" s="17">
        <f t="shared" si="1"/>
        <v>7.3603018921766683E-2</v>
      </c>
      <c r="L13" s="17">
        <f t="shared" si="2"/>
        <v>2.1853704882382363E-2</v>
      </c>
      <c r="M13" s="17">
        <f t="shared" si="3"/>
        <v>2.2373255143106174E-2</v>
      </c>
      <c r="N13" s="17">
        <f t="shared" si="4"/>
        <v>1.1814427048314284E-2</v>
      </c>
      <c r="O13" s="61">
        <f t="shared" si="5"/>
        <v>1.1814427048314284E-2</v>
      </c>
      <c r="P13" s="61">
        <f t="shared" si="6"/>
        <v>1.8680462357934274E-2</v>
      </c>
      <c r="Q13" s="61">
        <f t="shared" si="7"/>
        <v>2.2373255143106174E-2</v>
      </c>
    </row>
    <row r="14" spans="2:17" x14ac:dyDescent="0.3">
      <c r="B14" s="50"/>
      <c r="C14" s="51"/>
      <c r="D14" s="52"/>
      <c r="E14" s="53"/>
      <c r="F14" s="52"/>
      <c r="G14" s="52">
        <f>G13-F13</f>
        <v>3887</v>
      </c>
      <c r="H14" s="52">
        <f>H13-G13</f>
        <v>411</v>
      </c>
      <c r="I14" s="52">
        <f>I13-H13</f>
        <v>666</v>
      </c>
      <c r="J14" s="52">
        <f>J13-I13</f>
        <v>246</v>
      </c>
      <c r="K14" s="53"/>
      <c r="L14" s="53"/>
      <c r="M14" s="53"/>
      <c r="N14" s="53"/>
      <c r="O14" s="59"/>
      <c r="P14" s="59"/>
      <c r="Q14" s="59"/>
    </row>
    <row r="15" spans="2:17" x14ac:dyDescent="0.3">
      <c r="B15" s="50"/>
      <c r="C15" s="51"/>
      <c r="D15" s="52"/>
      <c r="E15" s="53"/>
      <c r="F15" s="52"/>
      <c r="G15" s="52"/>
      <c r="H15" s="52"/>
      <c r="I15" s="52"/>
      <c r="J15" s="52"/>
      <c r="K15" s="53"/>
      <c r="L15" s="53"/>
      <c r="M15" s="53"/>
      <c r="N15" s="53"/>
    </row>
    <row r="16" spans="2:17" x14ac:dyDescent="0.3">
      <c r="B16" s="50"/>
      <c r="C16" s="51"/>
      <c r="D16" s="52"/>
      <c r="E16" s="53"/>
      <c r="F16" s="52"/>
      <c r="G16" s="52"/>
      <c r="H16" s="52"/>
      <c r="I16" s="52"/>
      <c r="J16" s="52"/>
      <c r="K16" s="53"/>
      <c r="L16" s="53"/>
      <c r="M16" s="53"/>
      <c r="N16" s="53"/>
    </row>
    <row r="20" spans="6:13" x14ac:dyDescent="0.3">
      <c r="G20" s="9"/>
    </row>
    <row r="21" spans="6:13" x14ac:dyDescent="0.3">
      <c r="G21" s="9"/>
      <c r="H21" s="18"/>
      <c r="I21" s="18"/>
    </row>
    <row r="22" spans="6:13" x14ac:dyDescent="0.3">
      <c r="G22" s="9"/>
      <c r="H22" s="18"/>
    </row>
    <row r="23" spans="6:13" x14ac:dyDescent="0.3">
      <c r="F23" s="19"/>
      <c r="G23" s="19"/>
      <c r="K23" s="19"/>
      <c r="L23" s="19"/>
      <c r="M23" s="19"/>
    </row>
    <row r="24" spans="6:13" x14ac:dyDescent="0.3">
      <c r="G24" s="9"/>
    </row>
    <row r="25" spans="6:13" x14ac:dyDescent="0.3">
      <c r="G25" s="9"/>
    </row>
    <row r="26" spans="6:13" x14ac:dyDescent="0.3">
      <c r="G26" s="9"/>
    </row>
    <row r="27" spans="6:13" x14ac:dyDescent="0.3">
      <c r="G27" s="9"/>
    </row>
    <row r="28" spans="6:13" x14ac:dyDescent="0.3">
      <c r="G28" s="9"/>
    </row>
    <row r="29" spans="6:13" x14ac:dyDescent="0.3">
      <c r="F29" s="9"/>
      <c r="G29" s="9"/>
      <c r="K29" s="9"/>
      <c r="L29" s="9"/>
      <c r="M29" s="9"/>
    </row>
    <row r="30" spans="6:13" x14ac:dyDescent="0.3">
      <c r="G30" s="9"/>
    </row>
  </sheetData>
  <mergeCells count="4">
    <mergeCell ref="D2:E2"/>
    <mergeCell ref="K2:N2"/>
    <mergeCell ref="F2:J2"/>
    <mergeCell ref="O2:Q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50662-6B60-4862-93F6-C7DAE91502D7}">
  <dimension ref="B3:L15"/>
  <sheetViews>
    <sheetView workbookViewId="0">
      <selection activeCell="K14" sqref="K14"/>
    </sheetView>
  </sheetViews>
  <sheetFormatPr baseColWidth="10" defaultRowHeight="14.4" x14ac:dyDescent="0.3"/>
  <cols>
    <col min="1" max="1" width="11.5546875" style="23"/>
    <col min="2" max="2" width="16.88671875" style="23" bestFit="1" customWidth="1"/>
    <col min="3" max="3" width="9.6640625" style="23" bestFit="1" customWidth="1"/>
    <col min="4" max="4" width="9.21875" style="23" bestFit="1" customWidth="1"/>
    <col min="5" max="5" width="12.44140625" style="23" bestFit="1" customWidth="1"/>
    <col min="6" max="6" width="13.5546875" style="23" bestFit="1" customWidth="1"/>
    <col min="7" max="7" width="9.6640625" style="23" bestFit="1" customWidth="1"/>
    <col min="8" max="8" width="7.88671875" style="1" bestFit="1" customWidth="1"/>
    <col min="9" max="10" width="9.21875" style="23" bestFit="1" customWidth="1"/>
    <col min="11" max="11" width="10.5546875" style="23" bestFit="1" customWidth="1"/>
    <col min="12" max="12" width="11.5546875" style="1"/>
    <col min="13" max="16384" width="11.5546875" style="23"/>
  </cols>
  <sheetData>
    <row r="3" spans="2:11" ht="44.4" customHeight="1" x14ac:dyDescent="0.3">
      <c r="C3" s="66" t="s">
        <v>27</v>
      </c>
      <c r="D3" s="67"/>
      <c r="E3" s="67"/>
      <c r="F3" s="69" t="s">
        <v>29</v>
      </c>
      <c r="G3" s="70"/>
      <c r="H3" s="66" t="s">
        <v>24</v>
      </c>
      <c r="I3" s="67"/>
      <c r="J3" s="68"/>
    </row>
    <row r="4" spans="2:11" ht="57.6" x14ac:dyDescent="0.3">
      <c r="B4" s="22" t="s">
        <v>0</v>
      </c>
      <c r="C4" s="21" t="s">
        <v>25</v>
      </c>
      <c r="D4" s="21" t="s">
        <v>28</v>
      </c>
      <c r="E4" s="7" t="s">
        <v>26</v>
      </c>
      <c r="F4" s="34" t="s">
        <v>41</v>
      </c>
      <c r="G4" s="34" t="s">
        <v>30</v>
      </c>
      <c r="H4" s="2" t="s">
        <v>25</v>
      </c>
      <c r="I4" s="7" t="s">
        <v>26</v>
      </c>
      <c r="J4" s="2" t="s">
        <v>28</v>
      </c>
      <c r="K4" s="47" t="s">
        <v>33</v>
      </c>
    </row>
    <row r="5" spans="2:11" x14ac:dyDescent="0.3">
      <c r="B5" s="4" t="s">
        <v>3</v>
      </c>
      <c r="C5" s="6">
        <v>644</v>
      </c>
      <c r="D5" s="24">
        <v>1.3599999999999999</v>
      </c>
      <c r="E5" s="30">
        <v>2.1118012422360244</v>
      </c>
      <c r="F5" s="35">
        <f>Negoci!O4</f>
        <v>2.0790080634576213E-3</v>
      </c>
      <c r="G5" s="38">
        <v>0.03</v>
      </c>
      <c r="H5" s="54">
        <f>C5*((1+F5)^5)</f>
        <v>650.72229934259519</v>
      </c>
      <c r="I5" s="32">
        <f>E5*(1+G5)^5</f>
        <v>2.4481564301987571</v>
      </c>
      <c r="J5" s="32">
        <f>D5*((1+F5)^5)*((1+G5)^5)</f>
        <v>1.593069981409295</v>
      </c>
      <c r="K5" s="5">
        <f t="shared" ref="K5:K14" si="0">((J5/D5)^(1/5))-1</f>
        <v>3.2141378305361235E-2</v>
      </c>
    </row>
    <row r="6" spans="2:11" x14ac:dyDescent="0.3">
      <c r="B6" s="4" t="s">
        <v>7</v>
      </c>
      <c r="C6" s="6">
        <v>2312</v>
      </c>
      <c r="D6" s="24">
        <v>3.3</v>
      </c>
      <c r="E6" s="30">
        <v>1.4273356401384083</v>
      </c>
      <c r="F6" s="35">
        <f>Negoci!O5</f>
        <v>9.1663029244871234E-3</v>
      </c>
      <c r="G6" s="38">
        <v>0.01</v>
      </c>
      <c r="H6" s="54">
        <f t="shared" ref="H6:H13" si="1">C6*((1+F6)^5)</f>
        <v>2419.9229177793077</v>
      </c>
      <c r="I6" s="32">
        <f t="shared" ref="I6:I13" si="2">E6*(1+G6)^5</f>
        <v>1.500144102651384</v>
      </c>
      <c r="J6" s="32">
        <f t="shared" ref="J6:J13" si="3">D6*((1+F6)^5)*((1+G6)^5)</f>
        <v>3.6302330939775582</v>
      </c>
      <c r="K6" s="5">
        <f t="shared" si="0"/>
        <v>1.925796595373197E-2</v>
      </c>
    </row>
    <row r="7" spans="2:11" x14ac:dyDescent="0.3">
      <c r="B7" s="4" t="s">
        <v>9</v>
      </c>
      <c r="C7" s="6">
        <v>4017</v>
      </c>
      <c r="D7" s="24">
        <v>8.5399999999999991</v>
      </c>
      <c r="E7" s="30">
        <v>2.1259646502364951</v>
      </c>
      <c r="F7" s="35">
        <f>Negoci!O6</f>
        <v>4.1762870684412645E-2</v>
      </c>
      <c r="G7" s="38">
        <v>0.03</v>
      </c>
      <c r="H7" s="54">
        <f t="shared" si="1"/>
        <v>4928.8568551334602</v>
      </c>
      <c r="I7" s="32">
        <f t="shared" si="2"/>
        <v>2.4645757018974357</v>
      </c>
      <c r="J7" s="32">
        <f t="shared" si="3"/>
        <v>12.147540843292532</v>
      </c>
      <c r="K7" s="5">
        <f t="shared" si="0"/>
        <v>7.3015756804944987E-2</v>
      </c>
    </row>
    <row r="8" spans="2:11" x14ac:dyDescent="0.3">
      <c r="B8" s="4" t="s">
        <v>8</v>
      </c>
      <c r="C8" s="6">
        <v>6494</v>
      </c>
      <c r="D8" s="24">
        <v>12.61</v>
      </c>
      <c r="E8" s="30">
        <v>1.9417924237757931</v>
      </c>
      <c r="F8" s="35">
        <f>Negoci!O7</f>
        <v>3.5725677830940987E-2</v>
      </c>
      <c r="G8" s="38">
        <v>0.02</v>
      </c>
      <c r="H8" s="54">
        <f t="shared" si="1"/>
        <v>7739.9116194426215</v>
      </c>
      <c r="I8" s="32">
        <f t="shared" si="2"/>
        <v>2.1438957388900524</v>
      </c>
      <c r="J8" s="32">
        <f t="shared" si="3"/>
        <v>16.59356354030864</v>
      </c>
      <c r="K8" s="5">
        <f t="shared" si="0"/>
        <v>5.6440191387559624E-2</v>
      </c>
    </row>
    <row r="9" spans="2:11" x14ac:dyDescent="0.3">
      <c r="B9" s="4" t="s">
        <v>4</v>
      </c>
      <c r="C9" s="6">
        <v>562</v>
      </c>
      <c r="D9" s="24">
        <v>1.1199999999999999</v>
      </c>
      <c r="E9" s="30">
        <v>1.9928825622775797</v>
      </c>
      <c r="F9" s="57">
        <f>Negoci!O8</f>
        <v>-2.768166089965398E-2</v>
      </c>
      <c r="G9" s="38">
        <v>0.02</v>
      </c>
      <c r="H9" s="54">
        <f t="shared" si="1"/>
        <v>488.40342553420868</v>
      </c>
      <c r="I9" s="32">
        <f t="shared" si="2"/>
        <v>2.2003033800427043</v>
      </c>
      <c r="J9" s="32">
        <f t="shared" si="3"/>
        <v>1.0746357080273545</v>
      </c>
      <c r="K9" s="5">
        <f t="shared" si="0"/>
        <v>-8.2352941176470074E-3</v>
      </c>
    </row>
    <row r="10" spans="2:11" x14ac:dyDescent="0.3">
      <c r="B10" s="4" t="s">
        <v>6</v>
      </c>
      <c r="C10" s="6">
        <v>3194</v>
      </c>
      <c r="D10" s="24">
        <v>5.09</v>
      </c>
      <c r="E10" s="30">
        <v>1.5936130244207889</v>
      </c>
      <c r="F10" s="57">
        <f>Negoci!O9</f>
        <v>-5.2943008408595452E-3</v>
      </c>
      <c r="G10" s="38">
        <v>0.02</v>
      </c>
      <c r="H10" s="54">
        <f t="shared" si="1"/>
        <v>3110.3405544043762</v>
      </c>
      <c r="I10" s="32">
        <f t="shared" si="2"/>
        <v>1.7594775479924858</v>
      </c>
      <c r="J10" s="32">
        <f t="shared" si="3"/>
        <v>5.4725743720850009</v>
      </c>
      <c r="K10" s="5">
        <f t="shared" si="0"/>
        <v>1.4599813142323281E-2</v>
      </c>
    </row>
    <row r="11" spans="2:11" x14ac:dyDescent="0.3">
      <c r="B11" s="4" t="s">
        <v>5</v>
      </c>
      <c r="C11" s="6">
        <v>1868</v>
      </c>
      <c r="D11" s="24">
        <v>3.47</v>
      </c>
      <c r="E11" s="30">
        <v>1.8576017130620985</v>
      </c>
      <c r="F11" s="57">
        <f>Negoci!O10</f>
        <v>-0.11216730038022814</v>
      </c>
      <c r="G11" s="38">
        <v>0.02</v>
      </c>
      <c r="H11" s="54">
        <f t="shared" si="1"/>
        <v>1030.4633592806135</v>
      </c>
      <c r="I11" s="32">
        <f t="shared" si="2"/>
        <v>2.0509423913832978</v>
      </c>
      <c r="J11" s="32">
        <f t="shared" si="3"/>
        <v>2.1134209863158482</v>
      </c>
      <c r="K11" s="5">
        <f t="shared" si="0"/>
        <v>-9.4410646387832697E-2</v>
      </c>
    </row>
    <row r="12" spans="2:11" x14ac:dyDescent="0.3">
      <c r="B12" s="4" t="s">
        <v>13</v>
      </c>
      <c r="C12" s="6">
        <v>1947</v>
      </c>
      <c r="D12" s="24">
        <v>4.17</v>
      </c>
      <c r="E12" s="30">
        <v>2.1417565485362093</v>
      </c>
      <c r="F12" s="57">
        <f>Negoci!O11</f>
        <v>-4.8438780677030335E-3</v>
      </c>
      <c r="G12" s="38">
        <v>0.03</v>
      </c>
      <c r="H12" s="54">
        <f t="shared" si="1"/>
        <v>1900.2994671704116</v>
      </c>
      <c r="I12" s="32">
        <f t="shared" si="2"/>
        <v>2.4828828401802769</v>
      </c>
      <c r="J12" s="32">
        <f t="shared" si="3"/>
        <v>4.7182209382411386</v>
      </c>
      <c r="K12" s="5">
        <f t="shared" si="0"/>
        <v>2.5010805590265806E-2</v>
      </c>
    </row>
    <row r="13" spans="2:11" x14ac:dyDescent="0.3">
      <c r="B13" s="4" t="s">
        <v>10</v>
      </c>
      <c r="C13" s="6">
        <v>30</v>
      </c>
      <c r="D13" s="24">
        <v>0.03</v>
      </c>
      <c r="E13" s="30">
        <v>1</v>
      </c>
      <c r="F13" s="35">
        <f>Negoci!O12</f>
        <v>3.4482758620689655E-2</v>
      </c>
      <c r="G13" s="38">
        <v>0.01</v>
      </c>
      <c r="H13" s="54">
        <f t="shared" si="1"/>
        <v>35.541646155464051</v>
      </c>
      <c r="I13" s="32">
        <f t="shared" si="2"/>
        <v>1.0510100500999999</v>
      </c>
      <c r="J13" s="32">
        <f t="shared" si="3"/>
        <v>3.7354627306490737E-2</v>
      </c>
      <c r="K13" s="5">
        <f t="shared" si="0"/>
        <v>4.482758620689653E-2</v>
      </c>
    </row>
    <row r="14" spans="2:11" x14ac:dyDescent="0.3">
      <c r="B14" s="2" t="s">
        <v>2</v>
      </c>
      <c r="C14" s="28">
        <f>SUM(C5:C13)</f>
        <v>21068</v>
      </c>
      <c r="D14" s="25">
        <f>SUM(D5:D13)</f>
        <v>39.69</v>
      </c>
      <c r="E14" s="31">
        <f>1000*D14/C14</f>
        <v>1.8838997531801784</v>
      </c>
      <c r="F14" s="36">
        <f>Negoci!O13</f>
        <v>1.1814427048314284E-2</v>
      </c>
      <c r="G14" s="36"/>
      <c r="H14" s="28">
        <f>SUM(H5:H13)</f>
        <v>22304.462144243054</v>
      </c>
      <c r="I14" s="37">
        <f>1000*J14/H14</f>
        <v>2.1242661573524262</v>
      </c>
      <c r="J14" s="37">
        <f>SUM(J5:J13)</f>
        <v>47.380614090963846</v>
      </c>
      <c r="K14" s="58">
        <f t="shared" si="0"/>
        <v>3.6057639181469536E-2</v>
      </c>
    </row>
    <row r="15" spans="2:11" x14ac:dyDescent="0.3">
      <c r="C15" s="29"/>
      <c r="G15" s="48" t="s">
        <v>34</v>
      </c>
      <c r="H15" s="49">
        <f>H14-C14</f>
        <v>1236.4621442430544</v>
      </c>
    </row>
  </sheetData>
  <mergeCells count="3">
    <mergeCell ref="C3:E3"/>
    <mergeCell ref="H3:J3"/>
    <mergeCell ref="F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53BB-9675-4897-9499-A69C76CA9120}">
  <dimension ref="B3:L15"/>
  <sheetViews>
    <sheetView workbookViewId="0">
      <selection activeCell="K14" sqref="K14"/>
    </sheetView>
  </sheetViews>
  <sheetFormatPr baseColWidth="10" defaultRowHeight="14.4" x14ac:dyDescent="0.3"/>
  <cols>
    <col min="1" max="1" width="11.5546875" style="23"/>
    <col min="2" max="2" width="16.88671875" style="23" bestFit="1" customWidth="1"/>
    <col min="3" max="3" width="9.6640625" style="23" bestFit="1" customWidth="1"/>
    <col min="4" max="4" width="9.21875" style="23" bestFit="1" customWidth="1"/>
    <col min="5" max="5" width="12.44140625" style="23" customWidth="1"/>
    <col min="6" max="6" width="13.5546875" style="23" bestFit="1" customWidth="1"/>
    <col min="7" max="7" width="9.6640625" style="23" bestFit="1" customWidth="1"/>
    <col min="8" max="8" width="7.88671875" style="1" bestFit="1" customWidth="1"/>
    <col min="9" max="10" width="9.21875" style="23" bestFit="1" customWidth="1"/>
    <col min="11" max="11" width="10.5546875" style="23" bestFit="1" customWidth="1"/>
    <col min="12" max="16384" width="11.5546875" style="23"/>
  </cols>
  <sheetData>
    <row r="3" spans="2:12" ht="44.4" customHeight="1" x14ac:dyDescent="0.3">
      <c r="C3" s="66" t="s">
        <v>27</v>
      </c>
      <c r="D3" s="67"/>
      <c r="E3" s="67"/>
      <c r="F3" s="71" t="s">
        <v>31</v>
      </c>
      <c r="G3" s="72"/>
      <c r="H3" s="66" t="s">
        <v>24</v>
      </c>
      <c r="I3" s="67"/>
      <c r="J3" s="68"/>
    </row>
    <row r="4" spans="2:12" ht="57.6" x14ac:dyDescent="0.3">
      <c r="B4" s="22" t="s">
        <v>0</v>
      </c>
      <c r="C4" s="21" t="s">
        <v>25</v>
      </c>
      <c r="D4" s="21" t="s">
        <v>28</v>
      </c>
      <c r="E4" s="7" t="s">
        <v>26</v>
      </c>
      <c r="F4" s="39" t="s">
        <v>42</v>
      </c>
      <c r="G4" s="39" t="s">
        <v>30</v>
      </c>
      <c r="H4" s="2" t="s">
        <v>25</v>
      </c>
      <c r="I4" s="7" t="s">
        <v>26</v>
      </c>
      <c r="J4" s="2" t="s">
        <v>28</v>
      </c>
      <c r="K4" s="47" t="s">
        <v>33</v>
      </c>
      <c r="L4" s="1"/>
    </row>
    <row r="5" spans="2:12" x14ac:dyDescent="0.3">
      <c r="B5" s="4" t="s">
        <v>3</v>
      </c>
      <c r="C5" s="6">
        <v>644</v>
      </c>
      <c r="D5" s="24">
        <v>1.3599999999999999</v>
      </c>
      <c r="E5" s="30">
        <v>2.1118012422360244</v>
      </c>
      <c r="F5" s="40">
        <f>Negoci!P4</f>
        <v>5.1368519405192324E-3</v>
      </c>
      <c r="G5" s="41">
        <v>0.05</v>
      </c>
      <c r="H5" s="33">
        <f>C5*((1+F5)^5)</f>
        <v>660.71147229419159</v>
      </c>
      <c r="I5" s="32">
        <f>E5*((1+G5)^5)</f>
        <v>2.6952529891304344</v>
      </c>
      <c r="J5" s="32">
        <f>D5*((1+F5)^5)*((1+G5)^5)</f>
        <v>1.7807845706536902</v>
      </c>
      <c r="K5" s="5">
        <f t="shared" ref="K5:K14" si="0">((J5/D5)^(1/5))-1</f>
        <v>5.5393694537545279E-2</v>
      </c>
    </row>
    <row r="6" spans="2:12" x14ac:dyDescent="0.3">
      <c r="B6" s="4" t="s">
        <v>7</v>
      </c>
      <c r="C6" s="6">
        <v>2312</v>
      </c>
      <c r="D6" s="24">
        <v>3.3</v>
      </c>
      <c r="E6" s="30">
        <v>1.4273356401384083</v>
      </c>
      <c r="F6" s="40">
        <f>Negoci!P5</f>
        <v>1.2458610221872468E-2</v>
      </c>
      <c r="G6" s="41">
        <v>0.03</v>
      </c>
      <c r="H6" s="33">
        <f t="shared" ref="H6:H13" si="1">C6*((1+F6)^5)</f>
        <v>2459.6551388532221</v>
      </c>
      <c r="I6" s="32">
        <f t="shared" ref="I6:I13" si="2">E6*((1+G6)^5)</f>
        <v>1.6546732029368509</v>
      </c>
      <c r="J6" s="32">
        <f t="shared" ref="J6:J13" si="3">D6*((1+F6)^5)*((1+G6)^5)</f>
        <v>4.0699254467263453</v>
      </c>
      <c r="K6" s="5">
        <f t="shared" si="0"/>
        <v>4.2832368528528564E-2</v>
      </c>
    </row>
    <row r="7" spans="2:12" x14ac:dyDescent="0.3">
      <c r="B7" s="4" t="s">
        <v>9</v>
      </c>
      <c r="C7" s="6">
        <v>4017</v>
      </c>
      <c r="D7" s="24">
        <v>8.5399999999999991</v>
      </c>
      <c r="E7" s="30">
        <v>2.1259646502364951</v>
      </c>
      <c r="F7" s="40">
        <f>Negoci!P6</f>
        <v>5.1877448867228448E-2</v>
      </c>
      <c r="G7" s="41">
        <v>0.05</v>
      </c>
      <c r="H7" s="33">
        <f t="shared" si="1"/>
        <v>5172.8222310618648</v>
      </c>
      <c r="I7" s="32">
        <f t="shared" si="2"/>
        <v>2.7133294856236003</v>
      </c>
      <c r="J7" s="32">
        <f t="shared" si="3"/>
        <v>14.03557108342941</v>
      </c>
      <c r="K7" s="5">
        <f t="shared" si="0"/>
        <v>0.10447132131058989</v>
      </c>
    </row>
    <row r="8" spans="2:12" x14ac:dyDescent="0.3">
      <c r="B8" s="4" t="s">
        <v>8</v>
      </c>
      <c r="C8" s="6">
        <v>6494</v>
      </c>
      <c r="D8" s="24">
        <v>12.61</v>
      </c>
      <c r="E8" s="30">
        <v>1.9417924237757931</v>
      </c>
      <c r="F8" s="40">
        <f>Negoci!P7</f>
        <v>4.6356928648535266E-2</v>
      </c>
      <c r="G8" s="41">
        <v>0.04</v>
      </c>
      <c r="H8" s="33">
        <f t="shared" si="1"/>
        <v>8145.3838722760602</v>
      </c>
      <c r="I8" s="32">
        <f t="shared" si="2"/>
        <v>2.36248738824515</v>
      </c>
      <c r="J8" s="32">
        <f t="shared" si="3"/>
        <v>19.243366670667633</v>
      </c>
      <c r="K8" s="5">
        <f t="shared" si="0"/>
        <v>8.8211205794476832E-2</v>
      </c>
    </row>
    <row r="9" spans="2:12" x14ac:dyDescent="0.3">
      <c r="B9" s="4" t="s">
        <v>4</v>
      </c>
      <c r="C9" s="6">
        <v>562</v>
      </c>
      <c r="D9" s="24">
        <v>1.1199999999999999</v>
      </c>
      <c r="E9" s="30">
        <v>1.9928825622775797</v>
      </c>
      <c r="F9" s="46">
        <f>Negoci!P8</f>
        <v>-2.4153535739455084E-2</v>
      </c>
      <c r="G9" s="41">
        <v>0.04</v>
      </c>
      <c r="H9" s="33">
        <f t="shared" si="1"/>
        <v>497.32899513201465</v>
      </c>
      <c r="I9" s="32">
        <f t="shared" si="2"/>
        <v>2.4246463535373666</v>
      </c>
      <c r="J9" s="32">
        <f t="shared" si="3"/>
        <v>1.2058469345552423</v>
      </c>
      <c r="K9" s="5">
        <f t="shared" si="0"/>
        <v>1.4880322830966852E-2</v>
      </c>
    </row>
    <row r="10" spans="2:12" x14ac:dyDescent="0.3">
      <c r="B10" s="4" t="s">
        <v>6</v>
      </c>
      <c r="C10" s="6">
        <v>3194</v>
      </c>
      <c r="D10" s="24">
        <v>5.09</v>
      </c>
      <c r="E10" s="30">
        <v>1.5936130244207889</v>
      </c>
      <c r="F10" s="40">
        <f>Negoci!P9</f>
        <v>8.5578650352850071E-3</v>
      </c>
      <c r="G10" s="41">
        <v>0.04</v>
      </c>
      <c r="H10" s="33">
        <f t="shared" si="1"/>
        <v>3333.0284004065907</v>
      </c>
      <c r="I10" s="32">
        <f t="shared" si="2"/>
        <v>1.9388739114639955</v>
      </c>
      <c r="J10" s="32">
        <f t="shared" si="3"/>
        <v>6.4623218117169099</v>
      </c>
      <c r="K10" s="5">
        <f t="shared" si="0"/>
        <v>4.8900179636696572E-2</v>
      </c>
    </row>
    <row r="11" spans="2:12" x14ac:dyDescent="0.3">
      <c r="B11" s="4" t="s">
        <v>5</v>
      </c>
      <c r="C11" s="6">
        <v>1868</v>
      </c>
      <c r="D11" s="24">
        <v>3.47</v>
      </c>
      <c r="E11" s="30">
        <v>1.8576017130620985</v>
      </c>
      <c r="F11" s="46">
        <f>Negoci!P10</f>
        <v>-7.0606987576893251E-2</v>
      </c>
      <c r="G11" s="41">
        <v>0.04</v>
      </c>
      <c r="H11" s="33">
        <f t="shared" si="1"/>
        <v>1295.3105017966991</v>
      </c>
      <c r="I11" s="32">
        <f t="shared" si="2"/>
        <v>2.260056515700215</v>
      </c>
      <c r="J11" s="32">
        <f t="shared" si="3"/>
        <v>2.9274749394405446</v>
      </c>
      <c r="K11" s="5">
        <f t="shared" si="0"/>
        <v>-3.3431267079968907E-2</v>
      </c>
    </row>
    <row r="12" spans="2:12" x14ac:dyDescent="0.3">
      <c r="B12" s="4" t="s">
        <v>13</v>
      </c>
      <c r="C12" s="6">
        <v>1947</v>
      </c>
      <c r="D12" s="24">
        <v>4.17</v>
      </c>
      <c r="E12" s="30">
        <v>2.1417565485362093</v>
      </c>
      <c r="F12" s="40">
        <f>Negoci!P11</f>
        <v>3.6919495943213351E-3</v>
      </c>
      <c r="G12" s="41">
        <v>0.05</v>
      </c>
      <c r="H12" s="33">
        <f t="shared" si="1"/>
        <v>1983.2074965767413</v>
      </c>
      <c r="I12" s="32">
        <f t="shared" si="2"/>
        <v>2.7334843942604006</v>
      </c>
      <c r="J12" s="32">
        <f t="shared" si="3"/>
        <v>5.4210667424727603</v>
      </c>
      <c r="K12" s="5">
        <f t="shared" si="0"/>
        <v>5.387654707403744E-2</v>
      </c>
    </row>
    <row r="13" spans="2:12" x14ac:dyDescent="0.3">
      <c r="B13" s="4" t="s">
        <v>10</v>
      </c>
      <c r="C13" s="6">
        <v>30</v>
      </c>
      <c r="D13" s="24">
        <v>0.03</v>
      </c>
      <c r="E13" s="30">
        <v>1</v>
      </c>
      <c r="F13" s="40">
        <f>Negoci!P12</f>
        <v>9.8279806162084482E-2</v>
      </c>
      <c r="G13" s="41">
        <v>0.03</v>
      </c>
      <c r="H13" s="33">
        <f t="shared" si="1"/>
        <v>47.938699339388506</v>
      </c>
      <c r="I13" s="32">
        <f t="shared" si="2"/>
        <v>1.1592740742999998</v>
      </c>
      <c r="J13" s="32">
        <f t="shared" si="3"/>
        <v>5.5574091299815623E-2</v>
      </c>
      <c r="K13" s="5">
        <f t="shared" si="0"/>
        <v>0.13122820034694693</v>
      </c>
    </row>
    <row r="14" spans="2:12" x14ac:dyDescent="0.3">
      <c r="B14" s="2" t="s">
        <v>2</v>
      </c>
      <c r="C14" s="28">
        <f>SUM(C5:C13)</f>
        <v>21068</v>
      </c>
      <c r="D14" s="25">
        <f>SUM(D5:D13)</f>
        <v>39.69</v>
      </c>
      <c r="E14" s="31">
        <f>1000*D14/C14</f>
        <v>1.8838997531801784</v>
      </c>
      <c r="F14" s="42">
        <f>Negoci!P13</f>
        <v>1.8680462357934274E-2</v>
      </c>
      <c r="G14" s="42"/>
      <c r="H14" s="28">
        <f>SUM(H5:H13)</f>
        <v>23595.386807736773</v>
      </c>
      <c r="I14" s="37">
        <f>1000*J14/H14</f>
        <v>2.3395222439354968</v>
      </c>
      <c r="J14" s="37">
        <f>SUM(J5:J13)</f>
        <v>55.201932290962354</v>
      </c>
      <c r="K14" s="58">
        <f t="shared" si="0"/>
        <v>6.8205073220459544E-2</v>
      </c>
    </row>
    <row r="15" spans="2:12" x14ac:dyDescent="0.3">
      <c r="C15" s="29"/>
      <c r="G15" s="48" t="s">
        <v>34</v>
      </c>
      <c r="H15" s="49">
        <f>H14-C14</f>
        <v>2527.3868077367733</v>
      </c>
    </row>
  </sheetData>
  <mergeCells count="3">
    <mergeCell ref="C3:E3"/>
    <mergeCell ref="F3:G3"/>
    <mergeCell ref="H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4DF07-E9B1-483D-A02B-5F46AF90B4C6}">
  <dimension ref="B3:L15"/>
  <sheetViews>
    <sheetView tabSelected="1" workbookViewId="0">
      <selection activeCell="K14" sqref="K14"/>
    </sheetView>
  </sheetViews>
  <sheetFormatPr baseColWidth="10" defaultRowHeight="14.4" x14ac:dyDescent="0.3"/>
  <cols>
    <col min="1" max="1" width="11.5546875" style="23"/>
    <col min="2" max="2" width="16.88671875" style="23" bestFit="1" customWidth="1"/>
    <col min="3" max="3" width="9.6640625" style="23" bestFit="1" customWidth="1"/>
    <col min="4" max="4" width="9.21875" style="23" bestFit="1" customWidth="1"/>
    <col min="5" max="5" width="12.44140625" style="23" bestFit="1" customWidth="1"/>
    <col min="6" max="6" width="13.5546875" style="23" customWidth="1"/>
    <col min="7" max="7" width="9.6640625" style="23" bestFit="1" customWidth="1"/>
    <col min="8" max="8" width="7.88671875" style="1" bestFit="1" customWidth="1"/>
    <col min="9" max="10" width="9.21875" style="23" bestFit="1" customWidth="1"/>
    <col min="11" max="11" width="10.5546875" style="23" bestFit="1" customWidth="1"/>
    <col min="12" max="16384" width="11.5546875" style="23"/>
  </cols>
  <sheetData>
    <row r="3" spans="2:12" ht="44.4" customHeight="1" x14ac:dyDescent="0.3">
      <c r="C3" s="66" t="s">
        <v>27</v>
      </c>
      <c r="D3" s="67"/>
      <c r="E3" s="67"/>
      <c r="F3" s="73" t="s">
        <v>32</v>
      </c>
      <c r="G3" s="74"/>
      <c r="H3" s="66" t="s">
        <v>24</v>
      </c>
      <c r="I3" s="67"/>
      <c r="J3" s="68"/>
    </row>
    <row r="4" spans="2:12" ht="57.6" x14ac:dyDescent="0.3">
      <c r="B4" s="22" t="s">
        <v>0</v>
      </c>
      <c r="C4" s="21" t="s">
        <v>25</v>
      </c>
      <c r="D4" s="21" t="s">
        <v>28</v>
      </c>
      <c r="E4" s="7" t="s">
        <v>26</v>
      </c>
      <c r="F4" s="43" t="s">
        <v>43</v>
      </c>
      <c r="G4" s="43" t="s">
        <v>30</v>
      </c>
      <c r="H4" s="2" t="s">
        <v>25</v>
      </c>
      <c r="I4" s="7" t="s">
        <v>26</v>
      </c>
      <c r="J4" s="2" t="s">
        <v>28</v>
      </c>
      <c r="K4" s="47" t="s">
        <v>33</v>
      </c>
      <c r="L4" s="1"/>
    </row>
    <row r="5" spans="2:12" x14ac:dyDescent="0.3">
      <c r="B5" s="4" t="s">
        <v>3</v>
      </c>
      <c r="C5" s="6">
        <v>644</v>
      </c>
      <c r="D5" s="24">
        <v>1.3599999999999999</v>
      </c>
      <c r="E5" s="30">
        <v>2.1118012422360244</v>
      </c>
      <c r="F5" s="44">
        <f>Negoci!Q4</f>
        <v>8.6513605506117752E-3</v>
      </c>
      <c r="G5" s="45">
        <v>7.0000000000000007E-2</v>
      </c>
      <c r="H5" s="33">
        <f t="shared" ref="H5:H13" si="0">C5*((1+F5))^5</f>
        <v>672.34357756524662</v>
      </c>
      <c r="I5" s="32">
        <f>E5*((1+G5)^5)</f>
        <v>2.9619104871925463</v>
      </c>
      <c r="J5" s="32">
        <f>D5*((1+F5)^5)*((1+G5)^5)</f>
        <v>1.9914214933870595</v>
      </c>
      <c r="K5" s="5">
        <f t="shared" ref="K5:K14" si="1">((J5/D5)^(1/5))-1</f>
        <v>7.9256955789154704E-2</v>
      </c>
    </row>
    <row r="6" spans="2:12" x14ac:dyDescent="0.3">
      <c r="B6" s="4" t="s">
        <v>7</v>
      </c>
      <c r="C6" s="6">
        <v>2312</v>
      </c>
      <c r="D6" s="24">
        <v>3.3</v>
      </c>
      <c r="E6" s="30">
        <v>1.4273356401384083</v>
      </c>
      <c r="F6" s="44">
        <f>Negoci!Q5</f>
        <v>1.5038437845104502E-2</v>
      </c>
      <c r="G6" s="45">
        <v>0.05</v>
      </c>
      <c r="H6" s="33">
        <f t="shared" si="0"/>
        <v>2491.1522605623049</v>
      </c>
      <c r="I6" s="32">
        <f t="shared" ref="I6:I13" si="2">E6*((1+G6)^5)</f>
        <v>1.8216821610077856</v>
      </c>
      <c r="J6" s="32">
        <f t="shared" ref="J6:J13" si="3">D6*((1+F6)^5)*((1+G6)^5)</f>
        <v>4.5380876334205702</v>
      </c>
      <c r="K6" s="5">
        <f t="shared" si="1"/>
        <v>6.5790359737359694E-2</v>
      </c>
    </row>
    <row r="7" spans="2:12" x14ac:dyDescent="0.3">
      <c r="B7" s="4" t="s">
        <v>9</v>
      </c>
      <c r="C7" s="6">
        <v>4017</v>
      </c>
      <c r="D7" s="24">
        <v>8.5399999999999991</v>
      </c>
      <c r="E7" s="30">
        <v>2.1259646502364951</v>
      </c>
      <c r="F7" s="44">
        <f>Negoci!Q6</f>
        <v>6.5517241379310351E-2</v>
      </c>
      <c r="G7" s="45">
        <v>7.0000000000000007E-2</v>
      </c>
      <c r="H7" s="33">
        <f t="shared" si="0"/>
        <v>5517.0159478658825</v>
      </c>
      <c r="I7" s="32">
        <f t="shared" si="2"/>
        <v>2.9817753995962168</v>
      </c>
      <c r="J7" s="32">
        <f t="shared" si="3"/>
        <v>16.450502432526488</v>
      </c>
      <c r="K7" s="5">
        <f t="shared" si="1"/>
        <v>0.14010344827586207</v>
      </c>
    </row>
    <row r="8" spans="2:12" x14ac:dyDescent="0.3">
      <c r="B8" s="4" t="s">
        <v>8</v>
      </c>
      <c r="C8" s="6">
        <v>6494</v>
      </c>
      <c r="D8" s="24">
        <v>12.61</v>
      </c>
      <c r="E8" s="30">
        <v>1.9417924237757931</v>
      </c>
      <c r="F8" s="44">
        <f>Negoci!Q7</f>
        <v>5.6953742033632793E-2</v>
      </c>
      <c r="G8" s="45">
        <v>0.06</v>
      </c>
      <c r="H8" s="33">
        <f t="shared" si="0"/>
        <v>8566.2784585548525</v>
      </c>
      <c r="I8" s="32">
        <f t="shared" si="2"/>
        <v>2.5985562878866655</v>
      </c>
      <c r="J8" s="32">
        <f t="shared" si="3"/>
        <v>22.259956752265804</v>
      </c>
      <c r="K8" s="5">
        <f t="shared" si="1"/>
        <v>0.12037096655565094</v>
      </c>
    </row>
    <row r="9" spans="2:12" x14ac:dyDescent="0.3">
      <c r="B9" s="4" t="s">
        <v>4</v>
      </c>
      <c r="C9" s="6">
        <v>562</v>
      </c>
      <c r="D9" s="24">
        <v>1.1199999999999999</v>
      </c>
      <c r="E9" s="30">
        <v>1.9928825622775797</v>
      </c>
      <c r="F9" s="62">
        <f>Negoci!Q8</f>
        <v>-1.8289829737539454E-2</v>
      </c>
      <c r="G9" s="45">
        <v>0.06</v>
      </c>
      <c r="H9" s="33">
        <f t="shared" si="0"/>
        <v>512.45149746710933</v>
      </c>
      <c r="I9" s="32">
        <f t="shared" si="2"/>
        <v>2.6669264179928831</v>
      </c>
      <c r="J9" s="32">
        <f t="shared" si="3"/>
        <v>1.3666704365350468</v>
      </c>
      <c r="K9" s="5">
        <f t="shared" si="1"/>
        <v>4.0612780478208155E-2</v>
      </c>
    </row>
    <row r="10" spans="2:12" x14ac:dyDescent="0.3">
      <c r="B10" s="4" t="s">
        <v>6</v>
      </c>
      <c r="C10" s="6">
        <v>3194</v>
      </c>
      <c r="D10" s="24">
        <v>5.09</v>
      </c>
      <c r="E10" s="30">
        <v>1.5936130244207889</v>
      </c>
      <c r="F10" s="44">
        <f>Negoci!Q9</f>
        <v>1.739008408361431E-2</v>
      </c>
      <c r="G10" s="45">
        <v>0.06</v>
      </c>
      <c r="H10" s="33">
        <f t="shared" si="0"/>
        <v>3481.5482174945828</v>
      </c>
      <c r="I10" s="32">
        <f t="shared" si="2"/>
        <v>2.1326137100763938</v>
      </c>
      <c r="J10" s="32">
        <f t="shared" si="3"/>
        <v>7.4247974609209786</v>
      </c>
      <c r="K10" s="5">
        <f t="shared" si="1"/>
        <v>7.8433489128631129E-2</v>
      </c>
    </row>
    <row r="11" spans="2:12" x14ac:dyDescent="0.3">
      <c r="B11" s="4" t="s">
        <v>5</v>
      </c>
      <c r="C11" s="6">
        <v>1868</v>
      </c>
      <c r="D11" s="24">
        <v>3.47</v>
      </c>
      <c r="E11" s="30">
        <v>1.8576017130620985</v>
      </c>
      <c r="F11" s="62">
        <f>Negoci!Q10</f>
        <v>-3.8118708632347342E-2</v>
      </c>
      <c r="G11" s="45">
        <v>0.06</v>
      </c>
      <c r="H11" s="33">
        <f t="shared" si="0"/>
        <v>1538.0988970975075</v>
      </c>
      <c r="I11" s="32">
        <f t="shared" si="2"/>
        <v>2.485890125413277</v>
      </c>
      <c r="J11" s="32">
        <f t="shared" si="3"/>
        <v>3.8235448602037461</v>
      </c>
      <c r="K11" s="5">
        <f t="shared" si="1"/>
        <v>1.9594168849711879E-2</v>
      </c>
    </row>
    <row r="12" spans="2:12" x14ac:dyDescent="0.3">
      <c r="B12" s="4" t="s">
        <v>13</v>
      </c>
      <c r="C12" s="6">
        <v>1947</v>
      </c>
      <c r="D12" s="24">
        <v>4.17</v>
      </c>
      <c r="E12" s="30">
        <v>2.1417565485362093</v>
      </c>
      <c r="F12" s="44">
        <f>Negoci!Q11</f>
        <v>9.8547717842323648E-3</v>
      </c>
      <c r="G12" s="45">
        <v>7.0000000000000007E-2</v>
      </c>
      <c r="H12" s="33">
        <f t="shared" si="0"/>
        <v>2044.8457880781502</v>
      </c>
      <c r="I12" s="32">
        <f t="shared" si="2"/>
        <v>3.0039243538875193</v>
      </c>
      <c r="J12" s="32">
        <f t="shared" si="3"/>
        <v>6.1425620627522726</v>
      </c>
      <c r="K12" s="5">
        <f t="shared" si="1"/>
        <v>8.0544605809128589E-2</v>
      </c>
    </row>
    <row r="13" spans="2:12" x14ac:dyDescent="0.3">
      <c r="B13" s="4" t="s">
        <v>10</v>
      </c>
      <c r="C13" s="6">
        <v>30</v>
      </c>
      <c r="D13" s="24">
        <v>0.03</v>
      </c>
      <c r="E13" s="30">
        <v>1</v>
      </c>
      <c r="F13" s="44">
        <f>Negoci!Q12</f>
        <v>0.16774841624228443</v>
      </c>
      <c r="G13" s="45">
        <v>0.05</v>
      </c>
      <c r="H13" s="33">
        <f t="shared" si="0"/>
        <v>65.142990162276192</v>
      </c>
      <c r="I13" s="32">
        <f t="shared" si="2"/>
        <v>1.2762815625000001</v>
      </c>
      <c r="J13" s="32">
        <f t="shared" si="3"/>
        <v>8.3140797270231992E-2</v>
      </c>
      <c r="K13" s="5">
        <f t="shared" si="1"/>
        <v>0.22613583705439866</v>
      </c>
    </row>
    <row r="14" spans="2:12" x14ac:dyDescent="0.3">
      <c r="B14" s="2" t="s">
        <v>2</v>
      </c>
      <c r="C14" s="28">
        <f>SUM(C5:C13)</f>
        <v>21068</v>
      </c>
      <c r="D14" s="25">
        <f>SUM(D5:D13)</f>
        <v>39.69</v>
      </c>
      <c r="E14" s="31">
        <f>1000*D14/C14</f>
        <v>1.8838997531801784</v>
      </c>
      <c r="F14" s="56">
        <f>Negoci!Q13</f>
        <v>2.2373255143106174E-2</v>
      </c>
      <c r="G14" s="55"/>
      <c r="H14" s="28">
        <f>SUM(H5:H13)</f>
        <v>24888.877634847915</v>
      </c>
      <c r="I14" s="37">
        <f>1000*J14/H14</f>
        <v>2.5746715006369056</v>
      </c>
      <c r="J14" s="37">
        <f>SUM(J5:J13)</f>
        <v>64.080683929282202</v>
      </c>
      <c r="K14" s="58">
        <f t="shared" si="1"/>
        <v>0.10054855491981174</v>
      </c>
    </row>
    <row r="15" spans="2:12" x14ac:dyDescent="0.3">
      <c r="C15" s="29"/>
      <c r="G15" s="48" t="s">
        <v>34</v>
      </c>
      <c r="H15" s="49">
        <f>H14-C14</f>
        <v>3820.877634847915</v>
      </c>
    </row>
  </sheetData>
  <mergeCells count="3">
    <mergeCell ref="C3:E3"/>
    <mergeCell ref="F3:G3"/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Trafic</vt:lpstr>
      <vt:lpstr>Negoci</vt:lpstr>
      <vt:lpstr>ESCENARI_1</vt:lpstr>
      <vt:lpstr>ESCENARI_2</vt:lpstr>
      <vt:lpstr>ESCENARI_3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Bonnin</dc:creator>
  <cp:lastModifiedBy>jnric _</cp:lastModifiedBy>
  <dcterms:created xsi:type="dcterms:W3CDTF">2015-06-05T18:19:34Z</dcterms:created>
  <dcterms:modified xsi:type="dcterms:W3CDTF">2026-05-27T15:54:51Z</dcterms:modified>
</cp:coreProperties>
</file>