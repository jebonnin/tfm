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ric\Documents\UOC\TFM\1-Analisi_inicial\estadistiques_trafic\"/>
    </mc:Choice>
  </mc:AlternateContent>
  <xr:revisionPtr revIDLastSave="0" documentId="13_ncr:9_{B141328B-2D5B-410B-83EA-5D483C7E5C8E}" xr6:coauthVersionLast="47" xr6:coauthVersionMax="47" xr10:uidLastSave="{00000000-0000-0000-0000-000000000000}"/>
  <bookViews>
    <workbookView xWindow="10356" yWindow="0" windowWidth="12780" windowHeight="12336" xr2:uid="{3C5B3CA5-A2B0-4F36-B050-2DA8E2C57C51}"/>
  </bookViews>
  <sheets>
    <sheet name="cacti_summary_results" sheetId="1" r:id="rId1"/>
  </sheets>
  <calcPr calcId="0"/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P2" i="1"/>
  <c r="Q2" i="1"/>
  <c r="K3" i="1"/>
  <c r="L3" i="1"/>
  <c r="M3" i="1"/>
  <c r="N3" i="1"/>
  <c r="O3" i="1"/>
  <c r="P3" i="1"/>
  <c r="Q3" i="1"/>
  <c r="K4" i="1"/>
  <c r="L4" i="1"/>
  <c r="M4" i="1"/>
  <c r="N4" i="1"/>
  <c r="O4" i="1"/>
  <c r="P4" i="1"/>
  <c r="Q4" i="1"/>
  <c r="K5" i="1"/>
  <c r="L5" i="1"/>
  <c r="M5" i="1"/>
  <c r="N5" i="1"/>
  <c r="O5" i="1"/>
  <c r="P5" i="1"/>
  <c r="Q5" i="1"/>
  <c r="K6" i="1"/>
  <c r="L6" i="1"/>
  <c r="M6" i="1"/>
  <c r="N6" i="1"/>
  <c r="O6" i="1"/>
  <c r="P6" i="1"/>
  <c r="Q6" i="1"/>
  <c r="K7" i="1"/>
  <c r="L7" i="1"/>
  <c r="M7" i="1"/>
  <c r="N7" i="1"/>
  <c r="O7" i="1"/>
  <c r="P7" i="1"/>
  <c r="Q7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10" i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K12" i="1"/>
  <c r="L12" i="1"/>
  <c r="M12" i="1"/>
  <c r="N12" i="1"/>
  <c r="O12" i="1"/>
  <c r="P12" i="1"/>
  <c r="Q12" i="1"/>
  <c r="K13" i="1"/>
  <c r="L13" i="1"/>
  <c r="M13" i="1"/>
  <c r="N13" i="1"/>
  <c r="O13" i="1"/>
  <c r="P13" i="1"/>
  <c r="Q13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20" i="1"/>
  <c r="L20" i="1"/>
  <c r="M20" i="1"/>
  <c r="N20" i="1"/>
  <c r="O20" i="1"/>
  <c r="P20" i="1"/>
  <c r="Q20" i="1"/>
  <c r="K21" i="1"/>
  <c r="L21" i="1"/>
  <c r="M21" i="1"/>
  <c r="N21" i="1"/>
  <c r="O21" i="1"/>
  <c r="P21" i="1"/>
  <c r="Q21" i="1"/>
  <c r="K22" i="1"/>
  <c r="L22" i="1"/>
  <c r="M22" i="1"/>
  <c r="K23" i="1"/>
  <c r="L23" i="1"/>
  <c r="M23" i="1"/>
  <c r="K24" i="1"/>
  <c r="L24" i="1"/>
  <c r="M24" i="1"/>
  <c r="N24" i="1"/>
  <c r="O24" i="1"/>
  <c r="P24" i="1"/>
  <c r="Q24" i="1"/>
  <c r="K25" i="1"/>
  <c r="L25" i="1"/>
  <c r="M25" i="1"/>
  <c r="N25" i="1"/>
  <c r="O25" i="1"/>
  <c r="P25" i="1"/>
  <c r="Q25" i="1"/>
  <c r="K26" i="1"/>
  <c r="L26" i="1"/>
  <c r="M26" i="1"/>
  <c r="N26" i="1"/>
  <c r="O26" i="1"/>
  <c r="P26" i="1"/>
  <c r="Q26" i="1"/>
  <c r="K27" i="1"/>
  <c r="L27" i="1"/>
  <c r="M27" i="1"/>
  <c r="N27" i="1"/>
  <c r="O27" i="1"/>
  <c r="P27" i="1"/>
  <c r="Q27" i="1"/>
  <c r="K28" i="1"/>
  <c r="L28" i="1"/>
  <c r="M28" i="1"/>
  <c r="N28" i="1"/>
  <c r="O28" i="1"/>
  <c r="P28" i="1"/>
  <c r="Q28" i="1"/>
  <c r="K29" i="1"/>
  <c r="L29" i="1"/>
  <c r="M29" i="1"/>
  <c r="N29" i="1"/>
  <c r="O29" i="1"/>
  <c r="P29" i="1"/>
  <c r="Q29" i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K32" i="1"/>
  <c r="L32" i="1"/>
  <c r="M32" i="1"/>
  <c r="N32" i="1"/>
  <c r="O32" i="1"/>
  <c r="P32" i="1"/>
  <c r="Q32" i="1"/>
  <c r="K33" i="1"/>
  <c r="L33" i="1"/>
  <c r="M33" i="1"/>
  <c r="N33" i="1"/>
  <c r="O33" i="1"/>
  <c r="P33" i="1"/>
  <c r="Q33" i="1"/>
  <c r="K34" i="1"/>
  <c r="L34" i="1"/>
  <c r="M34" i="1"/>
  <c r="N34" i="1"/>
  <c r="O34" i="1"/>
  <c r="P34" i="1"/>
  <c r="Q34" i="1"/>
  <c r="K35" i="1"/>
  <c r="L35" i="1"/>
  <c r="M35" i="1"/>
  <c r="N35" i="1"/>
  <c r="O35" i="1"/>
  <c r="P35" i="1"/>
  <c r="Q35" i="1"/>
  <c r="K36" i="1"/>
  <c r="L36" i="1"/>
  <c r="M36" i="1"/>
  <c r="N36" i="1"/>
  <c r="O36" i="1"/>
  <c r="P36" i="1"/>
  <c r="Q36" i="1"/>
  <c r="K37" i="1"/>
  <c r="L37" i="1"/>
  <c r="M37" i="1"/>
  <c r="N37" i="1"/>
  <c r="O37" i="1"/>
  <c r="P37" i="1"/>
  <c r="Q37" i="1"/>
  <c r="K38" i="1"/>
  <c r="L38" i="1"/>
  <c r="M38" i="1"/>
  <c r="N38" i="1"/>
  <c r="O38" i="1"/>
  <c r="P38" i="1"/>
  <c r="Q38" i="1"/>
  <c r="K39" i="1"/>
  <c r="L39" i="1"/>
  <c r="M39" i="1"/>
  <c r="N39" i="1"/>
  <c r="O39" i="1"/>
  <c r="P39" i="1"/>
  <c r="Q39" i="1"/>
  <c r="K40" i="1"/>
  <c r="L40" i="1"/>
  <c r="M40" i="1"/>
  <c r="N40" i="1"/>
  <c r="O40" i="1"/>
  <c r="P40" i="1"/>
  <c r="Q40" i="1"/>
  <c r="K41" i="1"/>
  <c r="L41" i="1"/>
  <c r="M41" i="1"/>
  <c r="N41" i="1"/>
  <c r="O41" i="1"/>
  <c r="P41" i="1"/>
  <c r="Q41" i="1"/>
  <c r="K42" i="1"/>
  <c r="L42" i="1"/>
  <c r="M42" i="1"/>
  <c r="N42" i="1"/>
  <c r="O42" i="1"/>
  <c r="P42" i="1"/>
  <c r="Q42" i="1"/>
  <c r="K43" i="1"/>
  <c r="L43" i="1"/>
  <c r="M43" i="1"/>
  <c r="N43" i="1"/>
  <c r="O43" i="1"/>
  <c r="P43" i="1"/>
  <c r="Q43" i="1"/>
  <c r="K44" i="1"/>
  <c r="L44" i="1"/>
  <c r="M44" i="1"/>
  <c r="N44" i="1"/>
  <c r="O44" i="1"/>
  <c r="P44" i="1"/>
  <c r="Q44" i="1"/>
  <c r="K45" i="1"/>
  <c r="L45" i="1"/>
  <c r="M45" i="1"/>
  <c r="N45" i="1"/>
  <c r="O45" i="1"/>
  <c r="P45" i="1"/>
  <c r="Q45" i="1"/>
  <c r="K46" i="1"/>
  <c r="L46" i="1"/>
  <c r="M46" i="1"/>
  <c r="N46" i="1"/>
  <c r="O46" i="1"/>
  <c r="P46" i="1"/>
  <c r="Q46" i="1"/>
  <c r="K47" i="1"/>
  <c r="L47" i="1"/>
  <c r="M47" i="1"/>
  <c r="N47" i="1"/>
  <c r="O47" i="1"/>
  <c r="P47" i="1"/>
  <c r="Q47" i="1"/>
  <c r="K48" i="1"/>
  <c r="L48" i="1"/>
  <c r="M48" i="1"/>
  <c r="N48" i="1"/>
  <c r="O48" i="1"/>
  <c r="P48" i="1"/>
  <c r="Q48" i="1"/>
  <c r="K49" i="1"/>
  <c r="L49" i="1"/>
  <c r="M49" i="1"/>
  <c r="N49" i="1"/>
  <c r="O49" i="1"/>
  <c r="P49" i="1"/>
  <c r="Q49" i="1"/>
  <c r="K50" i="1"/>
  <c r="L50" i="1"/>
  <c r="M50" i="1"/>
  <c r="N50" i="1"/>
  <c r="O50" i="1"/>
  <c r="P50" i="1"/>
  <c r="Q50" i="1"/>
  <c r="K51" i="1"/>
  <c r="L51" i="1"/>
  <c r="M51" i="1"/>
  <c r="N51" i="1"/>
  <c r="O51" i="1"/>
  <c r="P51" i="1"/>
  <c r="Q51" i="1"/>
  <c r="K52" i="1"/>
  <c r="L52" i="1"/>
  <c r="M52" i="1"/>
  <c r="N52" i="1"/>
  <c r="O52" i="1"/>
  <c r="P52" i="1"/>
  <c r="Q52" i="1"/>
  <c r="K53" i="1"/>
  <c r="L53" i="1"/>
  <c r="M53" i="1"/>
  <c r="N53" i="1"/>
  <c r="O53" i="1"/>
  <c r="P53" i="1"/>
  <c r="Q53" i="1"/>
  <c r="K54" i="1"/>
  <c r="L54" i="1"/>
  <c r="M54" i="1"/>
  <c r="N54" i="1"/>
  <c r="O54" i="1"/>
  <c r="P54" i="1"/>
  <c r="Q54" i="1"/>
  <c r="K55" i="1"/>
  <c r="L55" i="1"/>
  <c r="M55" i="1"/>
  <c r="N55" i="1"/>
  <c r="O55" i="1"/>
  <c r="P55" i="1"/>
  <c r="Q55" i="1"/>
  <c r="K56" i="1"/>
  <c r="L56" i="1"/>
  <c r="M56" i="1"/>
  <c r="N56" i="1"/>
  <c r="O56" i="1"/>
  <c r="P56" i="1"/>
  <c r="Q56" i="1"/>
  <c r="K57" i="1"/>
  <c r="L57" i="1"/>
  <c r="M57" i="1"/>
  <c r="N57" i="1"/>
  <c r="O57" i="1"/>
  <c r="P57" i="1"/>
  <c r="Q57" i="1"/>
  <c r="K58" i="1"/>
  <c r="L58" i="1"/>
  <c r="M58" i="1"/>
  <c r="N58" i="1"/>
  <c r="O58" i="1"/>
  <c r="P58" i="1"/>
  <c r="Q58" i="1"/>
  <c r="K59" i="1"/>
  <c r="L59" i="1"/>
  <c r="M59" i="1"/>
  <c r="N59" i="1"/>
  <c r="O59" i="1"/>
  <c r="P59" i="1"/>
  <c r="Q5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2" i="1"/>
</calcChain>
</file>

<file path=xl/sharedStrings.xml><?xml version="1.0" encoding="utf-8"?>
<sst xmlns="http://schemas.openxmlformats.org/spreadsheetml/2006/main" count="532" uniqueCount="532">
  <si>
    <t>file</t>
  </si>
  <si>
    <t>in_mean</t>
  </si>
  <si>
    <t>in_max</t>
  </si>
  <si>
    <t>in_min</t>
  </si>
  <si>
    <t>in_p95</t>
  </si>
  <si>
    <t>out_mean</t>
  </si>
  <si>
    <t>out_max</t>
  </si>
  <si>
    <t>out_min</t>
  </si>
  <si>
    <t>out_p95</t>
  </si>
  <si>
    <t>'ALCORT_R3_Huawei_GE-0_2_0 - Traffico 10G Avatel OP03-SST'.csv</t>
  </si>
  <si>
    <t>250162381.6912703</t>
  </si>
  <si>
    <t>446536341.02</t>
  </si>
  <si>
    <t>124782651.6</t>
  </si>
  <si>
    <t>365738874.292</t>
  </si>
  <si>
    <t>2306523975.408135</t>
  </si>
  <si>
    <t>4878080005.9</t>
  </si>
  <si>
    <t>710494124.1</t>
  </si>
  <si>
    <t>4295348921.535001</t>
  </si>
  <si>
    <t>'ALCORT_R3_Huawei_GE-0_2_0 - Traffico 10G Avatel OP03-SST'_weekly.csv</t>
  </si>
  <si>
    <t>239473246.81821427</t>
  </si>
  <si>
    <t>665112642.37</t>
  </si>
  <si>
    <t>130549302.06</t>
  </si>
  <si>
    <t>389732510.5625</t>
  </si>
  <si>
    <t>2255652620.087113</t>
  </si>
  <si>
    <t>5693322765.3</t>
  </si>
  <si>
    <t>719494408.82</t>
  </si>
  <si>
    <t>4480946334.55</t>
  </si>
  <si>
    <t>'ALCORT_R3_Huawei_GE-0_3_0 - Trafico Hurricane 10G LAG (1)'.csv</t>
  </si>
  <si>
    <t>2511322784.906828</t>
  </si>
  <si>
    <t>7129008153.0</t>
  </si>
  <si>
    <t>605778256.59</t>
  </si>
  <si>
    <t>5569726575.44</t>
  </si>
  <si>
    <t>389401292.39357525</t>
  </si>
  <si>
    <t>892027532.76</t>
  </si>
  <si>
    <t>119607310.65</t>
  </si>
  <si>
    <t>612679917.143</t>
  </si>
  <si>
    <t>'ALCORT_R3_Huawei_GE-0_3_0 - Trafico Hurricane 10G LAG (1)'_weekly.csv</t>
  </si>
  <si>
    <t>2493424699.1977973</t>
  </si>
  <si>
    <t>7491427662.4</t>
  </si>
  <si>
    <t>543099137.07</t>
  </si>
  <si>
    <t>5682601472.175</t>
  </si>
  <si>
    <t>316202969.8897024</t>
  </si>
  <si>
    <t>655607754.63</t>
  </si>
  <si>
    <t>114779370.08</t>
  </si>
  <si>
    <t>517749710.4975</t>
  </si>
  <si>
    <t>'ALCORT_R3_Huawei_GE-0_3_1 - Trafico Hurricane 10G LAG  (2)'.csv</t>
  </si>
  <si>
    <t>2500484639.963817</t>
  </si>
  <si>
    <t>7128556003.2</t>
  </si>
  <si>
    <t>531918318.51</t>
  </si>
  <si>
    <t>5508711646.855</t>
  </si>
  <si>
    <t>415154161.0194354</t>
  </si>
  <si>
    <t>908157555.24</t>
  </si>
  <si>
    <t>137738144.74</t>
  </si>
  <si>
    <t>616900964.567</t>
  </si>
  <si>
    <t>'ALCORT_R3_Huawei_GE-0_3_1 - Trafico Hurricane 10G LAG  (2)'_weekly.csv</t>
  </si>
  <si>
    <t>2478602682.405387</t>
  </si>
  <si>
    <t>7507727722.2</t>
  </si>
  <si>
    <t>542937624.34</t>
  </si>
  <si>
    <t>5642732692.450001</t>
  </si>
  <si>
    <t>340740919.81363094</t>
  </si>
  <si>
    <t>694178236.21</t>
  </si>
  <si>
    <t>124675132.07</t>
  </si>
  <si>
    <t>550215670.815</t>
  </si>
  <si>
    <t>'ALCORT_R3_Huawei_GE-0_3_2 - Trafico OP03-SST XOC-Orange 10G'.csv</t>
  </si>
  <si>
    <t>299888439.8403387</t>
  </si>
  <si>
    <t>1162818581.5</t>
  </si>
  <si>
    <t>29415913.352</t>
  </si>
  <si>
    <t>513798813.53099996</t>
  </si>
  <si>
    <t>2084012668.199266</t>
  </si>
  <si>
    <t>5458851169.4</t>
  </si>
  <si>
    <t>69750445.117</t>
  </si>
  <si>
    <t>4059154364.625</t>
  </si>
  <si>
    <t>'ALCORT_R3_Huawei_GE-0_3_2 - Trafico OP03-SST XOC-Orange 10G'_weekly.csv</t>
  </si>
  <si>
    <t>283097782.6314286</t>
  </si>
  <si>
    <t>691298098.95</t>
  </si>
  <si>
    <t>72457893.361</t>
  </si>
  <si>
    <t>510657155.8975</t>
  </si>
  <si>
    <t>2030417291.3215175</t>
  </si>
  <si>
    <t>4757831110.3</t>
  </si>
  <si>
    <t>423572617.01</t>
  </si>
  <si>
    <t>4004556349.425</t>
  </si>
  <si>
    <t>'ALCORT_R3_Huawei_GE-0_3_3 - Trafico Orange 10G OP04-RJT'.csv</t>
  </si>
  <si>
    <t>36041197.30384489</t>
  </si>
  <si>
    <t>36238465.899</t>
  </si>
  <si>
    <t>9147951.5213</t>
  </si>
  <si>
    <t>36233049.5367</t>
  </si>
  <si>
    <t>2802213165.6271505</t>
  </si>
  <si>
    <t>6806536670.3</t>
  </si>
  <si>
    <t>627252504.15</t>
  </si>
  <si>
    <t>5272064037.385</t>
  </si>
  <si>
    <t>'ALCORT_R3_Huawei_GE-0_3_3 - Trafico Orange 10G OP04-RJT'_weekly.csv</t>
  </si>
  <si>
    <t>36229583.26953274</t>
  </si>
  <si>
    <t>36249084.55</t>
  </si>
  <si>
    <t>36205645.09</t>
  </si>
  <si>
    <t>36244125.29125</t>
  </si>
  <si>
    <t>2786605038.11622</t>
  </si>
  <si>
    <t>6376814786.6</t>
  </si>
  <si>
    <t>595979498.44</t>
  </si>
  <si>
    <t>5455824762.55</t>
  </si>
  <si>
    <t>'ALCORT_R3_Huawei_GE-0_4_2 - Trafico Avatel OP05-ALS'.csv</t>
  </si>
  <si>
    <t>45855664.27678226</t>
  </si>
  <si>
    <t>98663580.631</t>
  </si>
  <si>
    <t>10298277.658</t>
  </si>
  <si>
    <t>71998468.9944</t>
  </si>
  <si>
    <t>378974448.11173385</t>
  </si>
  <si>
    <t>962547286.94</t>
  </si>
  <si>
    <t>69806882.969</t>
  </si>
  <si>
    <t>743892419.8209999</t>
  </si>
  <si>
    <t>'ALCORT_R3_Huawei_GE-0_4_2 - Trafico Avatel OP05-ALS'_weekly.csv</t>
  </si>
  <si>
    <t>39551181.52192262</t>
  </si>
  <si>
    <t>82113805.081</t>
  </si>
  <si>
    <t>7930739.3945</t>
  </si>
  <si>
    <t>68132250.77375</t>
  </si>
  <si>
    <t>367496168.04286605</t>
  </si>
  <si>
    <t>1037019796.7</t>
  </si>
  <si>
    <t>60182868.746</t>
  </si>
  <si>
    <t>824645404.52</t>
  </si>
  <si>
    <t>'ALCORT_R3_Huawei_GE-0_5_1.97_Xtra 10G OP04-RJT'.csv</t>
  </si>
  <si>
    <t>797318428.8688709</t>
  </si>
  <si>
    <t>1468252629.1</t>
  </si>
  <si>
    <t>324607089.69</t>
  </si>
  <si>
    <t>1211249406.9799998</t>
  </si>
  <si>
    <t>3326102775.503118</t>
  </si>
  <si>
    <t>7381747363.0</t>
  </si>
  <si>
    <t>847443639.02</t>
  </si>
  <si>
    <t>6312180213.259998</t>
  </si>
  <si>
    <t>'ALCORT_R3_Huawei_GE-0_5_1.97_Xtra 10G OP04-RJT'_weekly.csv</t>
  </si>
  <si>
    <t>807662862.6313095</t>
  </si>
  <si>
    <t>1540063217.4</t>
  </si>
  <si>
    <t>323913465.09</t>
  </si>
  <si>
    <t>1247661637.425</t>
  </si>
  <si>
    <t>3338091804.335477</t>
  </si>
  <si>
    <t>7368008772.0</t>
  </si>
  <si>
    <t>725460967.14</t>
  </si>
  <si>
    <t>6606056498.1</t>
  </si>
  <si>
    <t>'ALCORT_R3_Huawei_GE-0_5_2 - Trafico Lyntia [10G]'.csv</t>
  </si>
  <si>
    <t>524048313.9210753</t>
  </si>
  <si>
    <t>1076972854.1</t>
  </si>
  <si>
    <t>247131398.84</t>
  </si>
  <si>
    <t>752628346.833</t>
  </si>
  <si>
    <t>3203345567.9035487</t>
  </si>
  <si>
    <t>7371476067.4</t>
  </si>
  <si>
    <t>707479391.95</t>
  </si>
  <si>
    <t>6191447472.884998</t>
  </si>
  <si>
    <t>'ALCORT_R3_Huawei_GE-0_5_2 - Trafico Lyntia [10G]'_weekly.csv</t>
  </si>
  <si>
    <t>487749249.3417857</t>
  </si>
  <si>
    <t>920007612.26</t>
  </si>
  <si>
    <t>246300202.31</t>
  </si>
  <si>
    <t>741877751.7475</t>
  </si>
  <si>
    <t>3152583117.599464</t>
  </si>
  <si>
    <t>8110507543.1</t>
  </si>
  <si>
    <t>684421726.37</t>
  </si>
  <si>
    <t>6403784893.974999</t>
  </si>
  <si>
    <t>'ALCORT_R3_Huawei_GE-0_5_3 - Trafico Lyntia [10G]'.csv</t>
  </si>
  <si>
    <t>543414589.684301</t>
  </si>
  <si>
    <t>885739654.47</t>
  </si>
  <si>
    <t>281939651.31</t>
  </si>
  <si>
    <t>733450831.947</t>
  </si>
  <si>
    <t>3234671675.882204</t>
  </si>
  <si>
    <t>7425299527.1</t>
  </si>
  <si>
    <t>699421352.53</t>
  </si>
  <si>
    <t>6223014806.664999</t>
  </si>
  <si>
    <t>'ALCORT_R3_Huawei_GE-0_5_3 - Trafico Lyntia [10G]'_weekly.csv</t>
  </si>
  <si>
    <t>523606969.9569345</t>
  </si>
  <si>
    <t>967733406.75</t>
  </si>
  <si>
    <t>264104874.73</t>
  </si>
  <si>
    <t>796036452.3775</t>
  </si>
  <si>
    <t>3182392064.9589286</t>
  </si>
  <si>
    <t>8167586613.3</t>
  </si>
  <si>
    <t>652832004.81</t>
  </si>
  <si>
    <t>6305820483.225</t>
  </si>
  <si>
    <t>'ALCORT_R3_Huawei_GE-0_6_1.10 - Trafico 10G Correos OP01-ADZ'.csv</t>
  </si>
  <si>
    <t>94216261.80253714</t>
  </si>
  <si>
    <t>307184293.66</t>
  </si>
  <si>
    <t>983937.33352</t>
  </si>
  <si>
    <t>223440906.574</t>
  </si>
  <si>
    <t>446037433.21625465</t>
  </si>
  <si>
    <t>1065463445.0</t>
  </si>
  <si>
    <t>6311413.2628</t>
  </si>
  <si>
    <t>857607604.842</t>
  </si>
  <si>
    <t>'ALCORT_R3_Huawei_GE-0_6_1.10 - Trafico 10G Correos OP01-ADZ'_weekly.csv</t>
  </si>
  <si>
    <t>78098411.35330951</t>
  </si>
  <si>
    <t>414439790.26</t>
  </si>
  <si>
    <t>24668208.601</t>
  </si>
  <si>
    <t>229277550.9925</t>
  </si>
  <si>
    <t>408413376.41365176</t>
  </si>
  <si>
    <t>1042657246.1</t>
  </si>
  <si>
    <t>80055636.927</t>
  </si>
  <si>
    <t>781685682.6600001</t>
  </si>
  <si>
    <t>'ALCORT_R3_Huawei_GE-0_6_2.42 - Trafico Aire TV'.csv</t>
  </si>
  <si>
    <t>427368026.23561835</t>
  </si>
  <si>
    <t>436713393.14</t>
  </si>
  <si>
    <t>405775273.23</t>
  </si>
  <si>
    <t>435466413.2355</t>
  </si>
  <si>
    <t>'ALCORT_R3_Huawei_GE-0_6_2.42 - Trafico Aire TV'_weekly.csv</t>
  </si>
  <si>
    <t>424288440.1660119</t>
  </si>
  <si>
    <t>427319837.68</t>
  </si>
  <si>
    <t>392009370.34</t>
  </si>
  <si>
    <t>425894131.0375</t>
  </si>
  <si>
    <t>'ALCORT_R3_Huawei_GE-0_6_2.510 - Trafico Aire OP05-ALS'.csv</t>
  </si>
  <si>
    <t>106316.08767621049</t>
  </si>
  <si>
    <t>25317555.48</t>
  </si>
  <si>
    <t>5769.2283118</t>
  </si>
  <si>
    <t>121653.57240349996</t>
  </si>
  <si>
    <t>298639016.2001613</t>
  </si>
  <si>
    <t>408559663.78</t>
  </si>
  <si>
    <t>251073874.97</t>
  </si>
  <si>
    <t>303973153.1305</t>
  </si>
  <si>
    <t>'ALCORT_R3_Huawei_GE-0_6_2.510 - Trafico Aire OP05-ALS'_weekly.csv</t>
  </si>
  <si>
    <t>36795.20964282322</t>
  </si>
  <si>
    <t>226504.15924</t>
  </si>
  <si>
    <t>7000.7281657</t>
  </si>
  <si>
    <t>130398.52588500001</t>
  </si>
  <si>
    <t>296160686.849375</t>
  </si>
  <si>
    <t>296408137.71</t>
  </si>
  <si>
    <t>292731700.01</t>
  </si>
  <si>
    <t>296307259.3725</t>
  </si>
  <si>
    <t>'ALCORT_R3_Huawei_GE-0_6_2.512 - Traffic Aire OP02-INF'.csv</t>
  </si>
  <si>
    <t>478972115.98478496</t>
  </si>
  <si>
    <t>833684686.57</t>
  </si>
  <si>
    <t>153179676.8</t>
  </si>
  <si>
    <t>719150802.2219999</t>
  </si>
  <si>
    <t>1655225427.5668283</t>
  </si>
  <si>
    <t>3922584804.8</t>
  </si>
  <si>
    <t>409718405.53</t>
  </si>
  <si>
    <t>3099490076.41</t>
  </si>
  <si>
    <t>'ALCORT_R3_Huawei_GE-0_6_2.512 - Traffic Aire OP02-INF'_weekly.csv</t>
  </si>
  <si>
    <t>433563341.745</t>
  </si>
  <si>
    <t>1055371749.2</t>
  </si>
  <si>
    <t>141529525.51</t>
  </si>
  <si>
    <t>781608003.815</t>
  </si>
  <si>
    <t>1674823079.9740775</t>
  </si>
  <si>
    <t>4187545246.3</t>
  </si>
  <si>
    <t>376637033.74</t>
  </si>
  <si>
    <t>3295323653.4</t>
  </si>
  <si>
    <t>'ALCORT_R3_Huawei_GE-0_6_3 - Trafico Orange-Jazztel 10G'.csv</t>
  </si>
  <si>
    <t>2656684941.9776344</t>
  </si>
  <si>
    <t>7813348084.3</t>
  </si>
  <si>
    <t>548802177.17</t>
  </si>
  <si>
    <t>5643035887.150001</t>
  </si>
  <si>
    <t>856018041.0550001</t>
  </si>
  <si>
    <t>1993601574.1</t>
  </si>
  <si>
    <t>312409536.59</t>
  </si>
  <si>
    <t>1227594367.51</t>
  </si>
  <si>
    <t>'ALCORT_R3_Huawei_GE-0_6_3 - Trafico Orange-Jazztel 10G'_weekly.csv</t>
  </si>
  <si>
    <t>2499391072.05503</t>
  </si>
  <si>
    <t>7423321389.9</t>
  </si>
  <si>
    <t>518933928.11</t>
  </si>
  <si>
    <t>5542299690.7</t>
  </si>
  <si>
    <t>838500509.1976489</t>
  </si>
  <si>
    <t>1620513293.5</t>
  </si>
  <si>
    <t>275565810.3</t>
  </si>
  <si>
    <t>1243662053.525</t>
  </si>
  <si>
    <t>'ALCORT_R3_Huawei_GE-0_7_2 - Trafico AVATEL OP01-ADZ'.csv</t>
  </si>
  <si>
    <t>24544606.37076982</t>
  </si>
  <si>
    <t>335904702.57</t>
  </si>
  <si>
    <t>1336581.0357</t>
  </si>
  <si>
    <t>117085279.525</t>
  </si>
  <si>
    <t>53957708.69664462</t>
  </si>
  <si>
    <t>982069558.15</t>
  </si>
  <si>
    <t>12830.96487</t>
  </si>
  <si>
    <t>504125583.79499996</t>
  </si>
  <si>
    <t>'ALCORT_R3_Huawei_GE-0_7_2 - Trafico AVATEL OP01-ADZ'_weekly.csv</t>
  </si>
  <si>
    <t>11177296.629239077</t>
  </si>
  <si>
    <t>76393202.889</t>
  </si>
  <si>
    <t>772018.05253</t>
  </si>
  <si>
    <t>28168974.818499997</t>
  </si>
  <si>
    <t>529064.8749081398</t>
  </si>
  <si>
    <t>158084841.35</t>
  </si>
  <si>
    <t>12786.684148</t>
  </si>
  <si>
    <t>213290.0919</t>
  </si>
  <si>
    <t>'ALCORT_R3_Huawei_GE-0_7_4 - Trafico Cablemovil 1G OP04-RJT'.csv</t>
  </si>
  <si>
    <t>7256.277590275808</t>
  </si>
  <si>
    <t>7302.4676139</t>
  </si>
  <si>
    <t>7147.254898</t>
  </si>
  <si>
    <t>7296.740684095</t>
  </si>
  <si>
    <t>528420904.75548387</t>
  </si>
  <si>
    <t>536301243.23</t>
  </si>
  <si>
    <t>511241034.31</t>
  </si>
  <si>
    <t>535937820.08100003</t>
  </si>
  <si>
    <t>'ALCORT_R3_Huawei_GE-0_7_4 - Trafico Cablemovil 1G OP04-RJT'_weekly.csv</t>
  </si>
  <si>
    <t>7289.561130364584</t>
  </si>
  <si>
    <t>7315.0132544</t>
  </si>
  <si>
    <t>7225.1638519</t>
  </si>
  <si>
    <t>7308.648618075</t>
  </si>
  <si>
    <t>521392032.5325595</t>
  </si>
  <si>
    <t>522733141.32</t>
  </si>
  <si>
    <t>512235900.56</t>
  </si>
  <si>
    <t>521933396.21999997</t>
  </si>
  <si>
    <t>'ALCORT_R3_Huawei_GE-0_7_6 - Traffico OP06-EAM Telefonica'.csv</t>
  </si>
  <si>
    <t>100920764.74881199</t>
  </si>
  <si>
    <t>252024457.26</t>
  </si>
  <si>
    <t>33098743.533</t>
  </si>
  <si>
    <t>177022829.25699997</t>
  </si>
  <si>
    <t>9265.259236542506</t>
  </si>
  <si>
    <t>992994.11753</t>
  </si>
  <si>
    <t>2544.6320245</t>
  </si>
  <si>
    <t>6608.67796557</t>
  </si>
  <si>
    <t>'ALCORT_R3_Huawei_GE-0_7_6 - Traffico OP06-EAM Telefonica'_weekly.csv</t>
  </si>
  <si>
    <t>95277614.03170238</t>
  </si>
  <si>
    <t>261936195.57</t>
  </si>
  <si>
    <t>30004111.413</t>
  </si>
  <si>
    <t>176786737.25</t>
  </si>
  <si>
    <t>6598.663268013989</t>
  </si>
  <si>
    <t>6632.0450492</t>
  </si>
  <si>
    <t>6544.4778682</t>
  </si>
  <si>
    <t>6619.852348075</t>
  </si>
  <si>
    <t>'ALCORT_R3_Huawei_Trunk0 - Espanix LAG [10G] Traffic'.csv</t>
  </si>
  <si>
    <t>3290905266.024167</t>
  </si>
  <si>
    <t>7290258905.3</t>
  </si>
  <si>
    <t>650576842.4</t>
  </si>
  <si>
    <t>5979230808.155</t>
  </si>
  <si>
    <t>409247580.0701076</t>
  </si>
  <si>
    <t>989884166.05</t>
  </si>
  <si>
    <t>114171163.07</t>
  </si>
  <si>
    <t>661127984.0185</t>
  </si>
  <si>
    <t>'ALCORT_R3_Huawei_Trunk0 - Espanix LAG [10G] Traffic'_weekly.csv</t>
  </si>
  <si>
    <t>3444593656.886131</t>
  </si>
  <si>
    <t>8145309205.3</t>
  </si>
  <si>
    <t>587548806.31</t>
  </si>
  <si>
    <t>6909237818.0</t>
  </si>
  <si>
    <t>395992967.56044644</t>
  </si>
  <si>
    <t>1065969893.6</t>
  </si>
  <si>
    <t>105580146.17</t>
  </si>
  <si>
    <t>723451343.9</t>
  </si>
  <si>
    <t>'ALCORT_R3_Huawei_Trunk1 - Trafico 10G Google'.csv</t>
  </si>
  <si>
    <t>1746077066.5759408</t>
  </si>
  <si>
    <t>4601130002.9</t>
  </si>
  <si>
    <t>551327407.2</t>
  </si>
  <si>
    <t>3474256715.94</t>
  </si>
  <si>
    <t>575971787.733629</t>
  </si>
  <si>
    <t>958581713.58</t>
  </si>
  <si>
    <t>303754395.04</t>
  </si>
  <si>
    <t>795915506.6205</t>
  </si>
  <si>
    <t>'ALCORT_R3_Huawei_Trunk1 - Trafico 10G Google'_weekly.csv</t>
  </si>
  <si>
    <t>1517515533.1589286</t>
  </si>
  <si>
    <t>3902509486.8</t>
  </si>
  <si>
    <t>505775368.86</t>
  </si>
  <si>
    <t>3087914015.725</t>
  </si>
  <si>
    <t>595244596.3694643</t>
  </si>
  <si>
    <t>1029226913.6</t>
  </si>
  <si>
    <t>277455760.93</t>
  </si>
  <si>
    <t>857841897.1724999</t>
  </si>
  <si>
    <t>'ALCORT_R3_Huawei_Trunk2 - Trafico 10G Netflix 1'.csv</t>
  </si>
  <si>
    <t>903696544.5270699</t>
  </si>
  <si>
    <t>3230485851.9</t>
  </si>
  <si>
    <t>104365518.22</t>
  </si>
  <si>
    <t>2302298642.87</t>
  </si>
  <si>
    <t>11294532.947721237</t>
  </si>
  <si>
    <t>38271363.916</t>
  </si>
  <si>
    <t>1520654.6502</t>
  </si>
  <si>
    <t>28941099.505149998</t>
  </si>
  <si>
    <t>'ALCORT_R3_Huawei_Trunk2 - Trafico 10G Netflix 1'_weekly.csv</t>
  </si>
  <si>
    <t>868955625.5980922</t>
  </si>
  <si>
    <t>3027473597.4</t>
  </si>
  <si>
    <t>79019864.958</t>
  </si>
  <si>
    <t>2322717828.525</t>
  </si>
  <si>
    <t>10689437.049502976</t>
  </si>
  <si>
    <t>36961530.489</t>
  </si>
  <si>
    <t>1080212.9944</t>
  </si>
  <si>
    <t>27965364.76925</t>
  </si>
  <si>
    <t>'ALCORT_R3_Huawei_Trunk3 - Trafico 10G Netflix 2'.csv</t>
  </si>
  <si>
    <t>905461370.3679813</t>
  </si>
  <si>
    <t>3042657913.0</t>
  </si>
  <si>
    <t>99262187.399</t>
  </si>
  <si>
    <t>2322790957.7949996</t>
  </si>
  <si>
    <t>11367257.046419892</t>
  </si>
  <si>
    <t>37849581.579</t>
  </si>
  <si>
    <t>1429502.3213</t>
  </si>
  <si>
    <t>29378996.971749995</t>
  </si>
  <si>
    <t>'ALCORT_R3_Huawei_Trunk3 - Trafico 10G Netflix 2'_weekly.csv</t>
  </si>
  <si>
    <t>876513826.1741846</t>
  </si>
  <si>
    <t>3044545163.4</t>
  </si>
  <si>
    <t>88635154.206</t>
  </si>
  <si>
    <t>2458833361.225</t>
  </si>
  <si>
    <t>10751051.731272617</t>
  </si>
  <si>
    <t>34906690.329</t>
  </si>
  <si>
    <t>1328811.7914</t>
  </si>
  <si>
    <t>30060385.525000002</t>
  </si>
  <si>
    <t>'ALCORT_R3_Huawei_Trunk5 - Lyntia Trafico Agregado [LAG 20G]'.csv</t>
  </si>
  <si>
    <t>1067463097.3130376</t>
  </si>
  <si>
    <t>1862987761.7</t>
  </si>
  <si>
    <t>536752206.13</t>
  </si>
  <si>
    <t>1443545675.815</t>
  </si>
  <si>
    <t>6438017584.227958</t>
  </si>
  <si>
    <t>14785288512.0</t>
  </si>
  <si>
    <t>1460297034.4</t>
  </si>
  <si>
    <t>12405806380.749998</t>
  </si>
  <si>
    <t>'ALCORT_R3_Huawei_Trunk5 - Lyntia Trafico Agregado [LAG 20G]'_weekly.csv</t>
  </si>
  <si>
    <t>1011355590.2727679</t>
  </si>
  <si>
    <t>1850467788.4</t>
  </si>
  <si>
    <t>546071993.2</t>
  </si>
  <si>
    <t>1419247956.6000001</t>
  </si>
  <si>
    <t>6334975867.177679</t>
  </si>
  <si>
    <t>16277495295.0</t>
  </si>
  <si>
    <t>1366523383.4</t>
  </si>
  <si>
    <t>12635319178.75</t>
  </si>
  <si>
    <t>'ALCORT_R3_Huawei_Trunk5.401 - Lyntia OP09-JFG Traffic'.csv</t>
  </si>
  <si>
    <t>2146879.694268118</t>
  </si>
  <si>
    <t>18980143.549</t>
  </si>
  <si>
    <t>569854.47308</t>
  </si>
  <si>
    <t>4435356.307229995</t>
  </si>
  <si>
    <t>11903744.93166895</t>
  </si>
  <si>
    <t>44859735.847</t>
  </si>
  <si>
    <t>685622.21761</t>
  </si>
  <si>
    <t>27527539.2298</t>
  </si>
  <si>
    <t>'ALCORT_R3_Huawei_Trunk5.401 - Lyntia OP09-JFG Traffic'_weekly.csv</t>
  </si>
  <si>
    <t>1718624.6376348212</t>
  </si>
  <si>
    <t>11505311.42</t>
  </si>
  <si>
    <t>611936.17689</t>
  </si>
  <si>
    <t>4089002.6816499997</t>
  </si>
  <si>
    <t>11336045.820048066</t>
  </si>
  <si>
    <t>45410495.347</t>
  </si>
  <si>
    <t>731657.46148</t>
  </si>
  <si>
    <t>28583821.52675</t>
  </si>
  <si>
    <t>'ALCORT_R3_Huawei_Trunk5.402 - Trafico 10G Lyntia OP06-EAM'.csv</t>
  </si>
  <si>
    <t>190313731.75116664</t>
  </si>
  <si>
    <t>505482344.39</t>
  </si>
  <si>
    <t>50937714.268</t>
  </si>
  <si>
    <t>383045413.3434999</t>
  </si>
  <si>
    <t>2573237903.0657797</t>
  </si>
  <si>
    <t>6287828304.2</t>
  </si>
  <si>
    <t>535217281.9</t>
  </si>
  <si>
    <t>5089674548.089999</t>
  </si>
  <si>
    <t>'ALCORT_R3_Huawei_Trunk5.402 - Trafico 10G Lyntia OP06-EAM'_weekly.csv</t>
  </si>
  <si>
    <t>181798009.2814881</t>
  </si>
  <si>
    <t>664487639.15</t>
  </si>
  <si>
    <t>44073252.177</t>
  </si>
  <si>
    <t>357678291.63</t>
  </si>
  <si>
    <t>2476717632.896964</t>
  </si>
  <si>
    <t>6681734806.1</t>
  </si>
  <si>
    <t>499768926.01</t>
  </si>
  <si>
    <t>5059141142.35</t>
  </si>
  <si>
    <t>'ALCORT_R3_Huawei_Trunk5.403 - Trafico 10G Lyntia OP08-MDN'.csv</t>
  </si>
  <si>
    <t>575547709.9234409</t>
  </si>
  <si>
    <t>940539083.24</t>
  </si>
  <si>
    <t>318684043.78</t>
  </si>
  <si>
    <t>802166830.415</t>
  </si>
  <si>
    <t>2056452647.3343813</t>
  </si>
  <si>
    <t>4932565670.2</t>
  </si>
  <si>
    <t>409657109.39</t>
  </si>
  <si>
    <t>3938042573.669999</t>
  </si>
  <si>
    <t>'ALCORT_R3_Huawei_Trunk5.403 - Trafico 10G Lyntia OP08-MDN'_weekly.csv</t>
  </si>
  <si>
    <t>561052145.6184821</t>
  </si>
  <si>
    <t>1028629224.2</t>
  </si>
  <si>
    <t>341314706.27</t>
  </si>
  <si>
    <t>833001396.615</t>
  </si>
  <si>
    <t>2090591712.0614283</t>
  </si>
  <si>
    <t>5130810077.4</t>
  </si>
  <si>
    <t>438150431.79</t>
  </si>
  <si>
    <t>4173974851.5249996</t>
  </si>
  <si>
    <t>'ALCORT_R3_Huawei_Trunk5.404 - Trafico 10G Lyntia OP07-CST'.csv</t>
  </si>
  <si>
    <t>299454719.4086559</t>
  </si>
  <si>
    <t>913565121.98</t>
  </si>
  <si>
    <t>116849747.76</t>
  </si>
  <si>
    <t>505483063.1249998</t>
  </si>
  <si>
    <t>1796421572.4800808</t>
  </si>
  <si>
    <t>4101520080.8</t>
  </si>
  <si>
    <t>374260122.51</t>
  </si>
  <si>
    <t>3374564500.79</t>
  </si>
  <si>
    <t>'ALCORT_R3_Huawei_Trunk5.404 - Trafico 10G Lyntia OP07-CST'_weekly.csv</t>
  </si>
  <si>
    <t>266786719.33458337</t>
  </si>
  <si>
    <t>652094151.87</t>
  </si>
  <si>
    <t>124080007.81</t>
  </si>
  <si>
    <t>473496160.69</t>
  </si>
  <si>
    <t>1756328253.6692257</t>
  </si>
  <si>
    <t>4433872079.1</t>
  </si>
  <si>
    <t>357259239.34</t>
  </si>
  <si>
    <t>3466596815.3500004</t>
  </si>
  <si>
    <t>'ALCORT_R3_Huawei_Trunk6 - Trafico 10G META-Facebook'.csv</t>
  </si>
  <si>
    <t>3231343552.730112</t>
  </si>
  <si>
    <t>7758006988.2</t>
  </si>
  <si>
    <t>3740.3068124</t>
  </si>
  <si>
    <t>6559099880.85</t>
  </si>
  <si>
    <t>174985499.12987152</t>
  </si>
  <si>
    <t>443777202.34</t>
  </si>
  <si>
    <t>4940.3174499</t>
  </si>
  <si>
    <t>371861288.265</t>
  </si>
  <si>
    <t>'ALCORT_R3_Huawei_Trunk6 - Trafico 10G META-Facebook'_weekly.csv</t>
  </si>
  <si>
    <t>3333748180.730179</t>
  </si>
  <si>
    <t>8181691317.6</t>
  </si>
  <si>
    <t>384182010.31</t>
  </si>
  <si>
    <t>6708493533.325</t>
  </si>
  <si>
    <t>179219540.11050296</t>
  </si>
  <si>
    <t>463962514.6</t>
  </si>
  <si>
    <t>22963141.859</t>
  </si>
  <si>
    <t>389636666.9525</t>
  </si>
  <si>
    <t>'ALCORT_R3_Huawei_Trunk7 - Hurricane 20G Traffic '.csv</t>
  </si>
  <si>
    <t>5011807153.00887</t>
  </si>
  <si>
    <t>14257859317.0</t>
  </si>
  <si>
    <t>1140685565.6</t>
  </si>
  <si>
    <t>11058475351.849998</t>
  </si>
  <si>
    <t>804555501.1404034</t>
  </si>
  <si>
    <t>1542606152.0</t>
  </si>
  <si>
    <t>258259191.67</t>
  </si>
  <si>
    <t>1237434371.345</t>
  </si>
  <si>
    <t>'ALCORT_R3_Huawei_Trunk7 - Hurricane 20G Traffic '_weekly.csv</t>
  </si>
  <si>
    <t>4972026461.802381</t>
  </si>
  <si>
    <t>14999483761.0</t>
  </si>
  <si>
    <t>1104566747.7</t>
  </si>
  <si>
    <t>11398790975.0</t>
  </si>
  <si>
    <t>656944968.9749107</t>
  </si>
  <si>
    <t>1245841146.7</t>
  </si>
  <si>
    <t>241234204.88</t>
  </si>
  <si>
    <t>1037174519.225</t>
  </si>
  <si>
    <t>'ALCORT_R3_Huawei_Trunk9 - Trafico 10G Google 2'.csv</t>
  </si>
  <si>
    <t>1336845036.0348923</t>
  </si>
  <si>
    <t>2749838862.8</t>
  </si>
  <si>
    <t>554392348.51</t>
  </si>
  <si>
    <t>2343536192.78</t>
  </si>
  <si>
    <t>5538.500154709677</t>
  </si>
  <si>
    <t>5567.277608</t>
  </si>
  <si>
    <t>5471.6068647</t>
  </si>
  <si>
    <t>5550.232330039999</t>
  </si>
  <si>
    <t>'ALCORT_R3_Huawei_Trunk9 - Trafico 10G Google 2'_weekly.csv</t>
  </si>
  <si>
    <t>1324946562.6441367</t>
  </si>
  <si>
    <t>2833327875.8</t>
  </si>
  <si>
    <t>527390983.55</t>
  </si>
  <si>
    <t>2444660208.675</t>
  </si>
  <si>
    <t>5543.129241684226</t>
  </si>
  <si>
    <t>5587.1806491</t>
  </si>
  <si>
    <t>5491.0724954</t>
  </si>
  <si>
    <t>5576.60173195</t>
  </si>
  <si>
    <t>in_mean_2(G)</t>
  </si>
  <si>
    <t>in_max_2(G)</t>
  </si>
  <si>
    <t>in_min_2(G)</t>
  </si>
  <si>
    <t>in_p95_2(G)</t>
  </si>
  <si>
    <t>out_mean_2(G)</t>
  </si>
  <si>
    <t>out_max_2(G)</t>
  </si>
  <si>
    <t>out_min_2(G)</t>
  </si>
  <si>
    <t>out_p95_2(G)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</si>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</sst>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0" fillId="0" borderId="0" xfId="0" quotePrefix="1"/>
    <xf numFmtId="49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F1BB-FBB7-4D91-979F-D591B47FF2BD}">
  <dimension ref="A1:R59"/>
  <sheetViews>
    <sheetView tabSelected="1" workbookViewId="0"/>
  </sheetViews>
  <sheetFormatPr baseColWidth="10" defaultRowHeight="14.4" x14ac:dyDescent="0.3"/>
  <cols>
    <col min="1" max="1" width="68.21875" bestFit="1" customWidth="1"/>
    <col min="2" max="2" width="18.6640625" hidden="1" customWidth="1"/>
    <col min="3" max="3" width="13.5546875" hidden="1" customWidth="1"/>
    <col min="4" max="4" width="12.5546875" hidden="1" customWidth="1"/>
    <col min="5" max="6" width="18.6640625" hidden="1" customWidth="1"/>
    <col min="7" max="7" width="13.5546875" hidden="1" customWidth="1"/>
    <col min="8" max="8" width="12.5546875" hidden="1" customWidth="1"/>
    <col min="9" max="9" width="18.6640625" hidden="1" customWidth="1"/>
    <col min="10" max="10" width="12.33203125" bestFit="1" customWidth="1"/>
    <col min="11" max="11" width="11.21875" bestFit="1" customWidth="1"/>
    <col min="12" max="12" width="10.77734375" hidden="1" customWidth="1"/>
    <col min="13" max="13" width="10.77734375" bestFit="1" customWidth="1"/>
    <col min="14" max="14" width="13.6640625" bestFit="1" customWidth="1"/>
    <col min="15" max="15" width="12.5546875" bestFit="1" customWidth="1"/>
    <col min="16" max="16" width="12.109375" hidden="1" customWidth="1"/>
    <col min="17" max="17" width="12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  <c r="O1" s="1" t="s">
        <v>528</v>
      </c>
      <c r="P1" s="1" t="s">
        <v>529</v>
      </c>
      <c r="Q1" s="1" t="s">
        <v>530</v>
      </c>
    </row>
    <row r="2" spans="1:17" x14ac:dyDescent="0.3">
      <c r="A2" s="5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f>FIXED(SUBSTITUTE(B2,".",","),2)/(1000^3)</f>
        <v>0.25016238168999999</v>
      </c>
      <c r="K2" s="2">
        <f t="shared" ref="K2:Q17" si="0">FIXED(SUBSTITUTE(C2,".",","),2)/(1000^3)</f>
        <v>0.44653634102</v>
      </c>
      <c r="L2" s="2">
        <f t="shared" si="0"/>
        <v>0.12478265159999999</v>
      </c>
      <c r="M2" s="2">
        <f t="shared" si="0"/>
        <v>0.36573887429000002</v>
      </c>
      <c r="N2" s="3">
        <f t="shared" si="0"/>
        <v>2.3065239754099998</v>
      </c>
      <c r="O2" s="3">
        <f t="shared" si="0"/>
        <v>4.8780800058999993</v>
      </c>
      <c r="P2" s="3">
        <f t="shared" si="0"/>
        <v>0.71049412410000001</v>
      </c>
      <c r="Q2" s="3">
        <f t="shared" si="0"/>
        <v>4.2953489215399996</v>
      </c>
    </row>
    <row r="3" spans="1:17" x14ac:dyDescent="0.3">
      <c r="A3" s="5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>
        <f t="shared" ref="J3:J59" si="1">FIXED(SUBSTITUTE(B3,".",","),2)/(1000^3)</f>
        <v>0.23947324681999999</v>
      </c>
      <c r="K3" s="2">
        <f t="shared" si="0"/>
        <v>0.66511264237000001</v>
      </c>
      <c r="L3" s="2">
        <f t="shared" si="0"/>
        <v>0.13054930206000001</v>
      </c>
      <c r="M3" s="2">
        <f t="shared" si="0"/>
        <v>0.38973251056000002</v>
      </c>
      <c r="N3" s="3">
        <f t="shared" si="0"/>
        <v>2.2556526200900002</v>
      </c>
      <c r="O3" s="3">
        <f t="shared" si="0"/>
        <v>5.6933227653000005</v>
      </c>
      <c r="P3" s="3">
        <f t="shared" si="0"/>
        <v>0.71949440882000004</v>
      </c>
      <c r="Q3" s="3">
        <f t="shared" si="0"/>
        <v>4.4809463345500005</v>
      </c>
    </row>
    <row r="4" spans="1:17" x14ac:dyDescent="0.3">
      <c r="A4" s="5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3">
        <f t="shared" si="1"/>
        <v>2.5113227849099999</v>
      </c>
      <c r="K4" s="3">
        <f t="shared" si="0"/>
        <v>7.129008153</v>
      </c>
      <c r="L4" s="3">
        <f t="shared" si="0"/>
        <v>0.60577825659000006</v>
      </c>
      <c r="M4" s="3">
        <f t="shared" si="0"/>
        <v>5.5697265754399998</v>
      </c>
      <c r="N4" s="2">
        <f t="shared" si="0"/>
        <v>0.38940129238999999</v>
      </c>
      <c r="O4" s="2">
        <f t="shared" si="0"/>
        <v>0.89202753276000002</v>
      </c>
      <c r="P4" s="2">
        <f t="shared" si="0"/>
        <v>0.11960731065000001</v>
      </c>
      <c r="Q4" s="2">
        <f t="shared" si="0"/>
        <v>0.61267991714000003</v>
      </c>
    </row>
    <row r="5" spans="1:17" x14ac:dyDescent="0.3">
      <c r="A5" s="5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3">
        <f t="shared" si="1"/>
        <v>2.4934246991999998</v>
      </c>
      <c r="K5" s="3">
        <f t="shared" si="0"/>
        <v>7.4914276623999996</v>
      </c>
      <c r="L5" s="3">
        <f t="shared" si="0"/>
        <v>0.54309913707000002</v>
      </c>
      <c r="M5" s="3">
        <f t="shared" si="0"/>
        <v>5.68260147218</v>
      </c>
      <c r="N5" s="2">
        <f t="shared" si="0"/>
        <v>0.31620296988999996</v>
      </c>
      <c r="O5" s="2">
        <f t="shared" si="0"/>
        <v>0.65560775462999998</v>
      </c>
      <c r="P5" s="2">
        <f t="shared" si="0"/>
        <v>0.11477937008</v>
      </c>
      <c r="Q5" s="2">
        <f t="shared" si="0"/>
        <v>0.51774971049999996</v>
      </c>
    </row>
    <row r="6" spans="1:17" x14ac:dyDescent="0.3">
      <c r="A6" s="5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3">
        <f t="shared" si="1"/>
        <v>2.5004846399600003</v>
      </c>
      <c r="K6" s="3">
        <f t="shared" si="0"/>
        <v>7.1285560031999999</v>
      </c>
      <c r="L6" s="3">
        <f t="shared" si="0"/>
        <v>0.53191831851000004</v>
      </c>
      <c r="M6" s="3">
        <f t="shared" si="0"/>
        <v>5.5087116468599993</v>
      </c>
      <c r="N6" s="2">
        <f t="shared" si="0"/>
        <v>0.41515416101999997</v>
      </c>
      <c r="O6" s="2">
        <f t="shared" si="0"/>
        <v>0.90815755523999997</v>
      </c>
      <c r="P6" s="2">
        <f t="shared" si="0"/>
        <v>0.13773814474000001</v>
      </c>
      <c r="Q6" s="2">
        <f t="shared" si="0"/>
        <v>0.6169009645700001</v>
      </c>
    </row>
    <row r="7" spans="1:17" x14ac:dyDescent="0.3">
      <c r="A7" s="5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3">
        <f t="shared" si="1"/>
        <v>2.47860268241</v>
      </c>
      <c r="K7" s="3">
        <f t="shared" si="0"/>
        <v>7.5077277221999994</v>
      </c>
      <c r="L7" s="3">
        <f t="shared" si="0"/>
        <v>0.54293762434000004</v>
      </c>
      <c r="M7" s="3">
        <f t="shared" si="0"/>
        <v>5.6427326924500001</v>
      </c>
      <c r="N7" s="2">
        <f t="shared" si="0"/>
        <v>0.34074091980999999</v>
      </c>
      <c r="O7" s="2">
        <f t="shared" si="0"/>
        <v>0.69417823621000008</v>
      </c>
      <c r="P7" s="2">
        <f t="shared" si="0"/>
        <v>0.12467513206999999</v>
      </c>
      <c r="Q7" s="2">
        <f t="shared" si="0"/>
        <v>0.55021567082</v>
      </c>
    </row>
    <row r="8" spans="1:17" x14ac:dyDescent="0.3">
      <c r="A8" s="5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2">
        <f t="shared" si="1"/>
        <v>0.29988843983999997</v>
      </c>
      <c r="K8" s="2">
        <f t="shared" si="0"/>
        <v>1.1628185815000001</v>
      </c>
      <c r="L8" s="2">
        <f t="shared" si="0"/>
        <v>2.9415913350000003E-2</v>
      </c>
      <c r="M8" s="2">
        <f t="shared" si="0"/>
        <v>0.51379881353000001</v>
      </c>
      <c r="N8" s="3">
        <f t="shared" si="0"/>
        <v>2.0840126682000002</v>
      </c>
      <c r="O8" s="3">
        <f t="shared" si="0"/>
        <v>5.4588511693999999</v>
      </c>
      <c r="P8" s="3">
        <f t="shared" si="0"/>
        <v>6.9750445120000004E-2</v>
      </c>
      <c r="Q8" s="3">
        <f t="shared" si="0"/>
        <v>4.0591543646300003</v>
      </c>
    </row>
    <row r="9" spans="1:17" x14ac:dyDescent="0.3">
      <c r="A9" s="5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2">
        <f t="shared" si="1"/>
        <v>0.28309778263000002</v>
      </c>
      <c r="K9" s="2">
        <f t="shared" si="0"/>
        <v>0.69129809895000005</v>
      </c>
      <c r="L9" s="2">
        <f t="shared" si="0"/>
        <v>7.2457893359999997E-2</v>
      </c>
      <c r="M9" s="2">
        <f t="shared" si="0"/>
        <v>0.51065715589999994</v>
      </c>
      <c r="N9" s="3">
        <f t="shared" si="0"/>
        <v>2.03041729132</v>
      </c>
      <c r="O9" s="3">
        <f t="shared" si="0"/>
        <v>4.7578311103000006</v>
      </c>
      <c r="P9" s="3">
        <f t="shared" si="0"/>
        <v>0.42357261700999999</v>
      </c>
      <c r="Q9" s="3">
        <f t="shared" si="0"/>
        <v>4.0045563494299996</v>
      </c>
    </row>
    <row r="10" spans="1:17" x14ac:dyDescent="0.3">
      <c r="A10" s="5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2">
        <f t="shared" si="1"/>
        <v>3.6041197299999994E-2</v>
      </c>
      <c r="K10" s="2">
        <f t="shared" si="0"/>
        <v>3.6238465899999996E-2</v>
      </c>
      <c r="L10" s="2">
        <f t="shared" si="0"/>
        <v>9.1479515199999993E-3</v>
      </c>
      <c r="M10" s="2">
        <f t="shared" si="0"/>
        <v>3.6233049539999999E-2</v>
      </c>
      <c r="N10" s="3">
        <f t="shared" si="0"/>
        <v>2.80221316563</v>
      </c>
      <c r="O10" s="3">
        <f t="shared" si="0"/>
        <v>6.8065366702999999</v>
      </c>
      <c r="P10" s="3">
        <f t="shared" si="0"/>
        <v>0.62725250415</v>
      </c>
      <c r="Q10" s="3">
        <f t="shared" si="0"/>
        <v>5.2720640373900007</v>
      </c>
    </row>
    <row r="11" spans="1:17" x14ac:dyDescent="0.3">
      <c r="A11" s="5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2">
        <f t="shared" si="1"/>
        <v>3.6229583270000004E-2</v>
      </c>
      <c r="K11" s="2">
        <f t="shared" si="0"/>
        <v>3.6249084549999998E-2</v>
      </c>
      <c r="L11" s="2">
        <f t="shared" si="0"/>
        <v>3.6205645090000002E-2</v>
      </c>
      <c r="M11" s="2">
        <f t="shared" si="0"/>
        <v>3.6244125289999998E-2</v>
      </c>
      <c r="N11" s="3">
        <f t="shared" si="0"/>
        <v>2.7866050381199998</v>
      </c>
      <c r="O11" s="3">
        <f t="shared" si="0"/>
        <v>6.3768147866000007</v>
      </c>
      <c r="P11" s="3">
        <f t="shared" si="0"/>
        <v>0.59597949844000009</v>
      </c>
      <c r="Q11" s="3">
        <f t="shared" si="0"/>
        <v>5.4558247625499998</v>
      </c>
    </row>
    <row r="12" spans="1:17" x14ac:dyDescent="0.3">
      <c r="A12" s="5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2">
        <f t="shared" si="1"/>
        <v>4.585566428E-2</v>
      </c>
      <c r="K12" s="2">
        <f t="shared" si="0"/>
        <v>9.8663580629999997E-2</v>
      </c>
      <c r="L12" s="2">
        <f t="shared" si="0"/>
        <v>1.0298277660000001E-2</v>
      </c>
      <c r="M12" s="2">
        <f t="shared" si="0"/>
        <v>7.1998468989999995E-2</v>
      </c>
      <c r="N12" s="3">
        <f t="shared" si="0"/>
        <v>0.37897444811000003</v>
      </c>
      <c r="O12" s="3">
        <f t="shared" si="0"/>
        <v>0.96254728694000002</v>
      </c>
      <c r="P12" s="3">
        <f t="shared" si="0"/>
        <v>6.9806882969999998E-2</v>
      </c>
      <c r="Q12" s="3">
        <f t="shared" si="0"/>
        <v>0.74389241982000009</v>
      </c>
    </row>
    <row r="13" spans="1:17" x14ac:dyDescent="0.3">
      <c r="A13" s="5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  <c r="J13" s="2">
        <f t="shared" si="1"/>
        <v>3.9551181520000006E-2</v>
      </c>
      <c r="K13" s="2">
        <f t="shared" si="0"/>
        <v>8.2113805080000005E-2</v>
      </c>
      <c r="L13" s="2">
        <f t="shared" si="0"/>
        <v>7.9307393900000002E-3</v>
      </c>
      <c r="M13" s="2">
        <f t="shared" si="0"/>
        <v>6.813225077E-2</v>
      </c>
      <c r="N13" s="3">
        <f t="shared" si="0"/>
        <v>0.36749616804000002</v>
      </c>
      <c r="O13" s="3">
        <f t="shared" si="0"/>
        <v>1.0370197967000001</v>
      </c>
      <c r="P13" s="3">
        <f t="shared" si="0"/>
        <v>6.018286875E-2</v>
      </c>
      <c r="Q13" s="3">
        <f t="shared" si="0"/>
        <v>0.82464540452000001</v>
      </c>
    </row>
    <row r="14" spans="1:17" x14ac:dyDescent="0.3">
      <c r="A14" s="5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  <c r="J14" s="2">
        <f t="shared" si="1"/>
        <v>0.79731842887000004</v>
      </c>
      <c r="K14" s="2">
        <f t="shared" si="0"/>
        <v>1.4682526291</v>
      </c>
      <c r="L14" s="2">
        <f t="shared" si="0"/>
        <v>0.32460708969000002</v>
      </c>
      <c r="M14" s="2">
        <f t="shared" si="0"/>
        <v>1.2112494069799999</v>
      </c>
      <c r="N14" s="3">
        <f t="shared" si="0"/>
        <v>3.3261027754999999</v>
      </c>
      <c r="O14" s="3">
        <f t="shared" si="0"/>
        <v>7.3817473629999997</v>
      </c>
      <c r="P14" s="3">
        <f t="shared" si="0"/>
        <v>0.84744363901999997</v>
      </c>
      <c r="Q14" s="3">
        <f t="shared" si="0"/>
        <v>6.3121802132600004</v>
      </c>
    </row>
    <row r="15" spans="1:17" x14ac:dyDescent="0.3">
      <c r="A15" s="5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  <c r="J15" s="2">
        <f t="shared" si="1"/>
        <v>0.80766286262999998</v>
      </c>
      <c r="K15" s="2">
        <f t="shared" si="0"/>
        <v>1.5400632174000002</v>
      </c>
      <c r="L15" s="2">
        <f t="shared" si="0"/>
        <v>0.32391346508999996</v>
      </c>
      <c r="M15" s="2">
        <f t="shared" si="0"/>
        <v>1.24766163743</v>
      </c>
      <c r="N15" s="3">
        <f t="shared" si="0"/>
        <v>3.3380918043400003</v>
      </c>
      <c r="O15" s="3">
        <f t="shared" si="0"/>
        <v>7.3680087719999996</v>
      </c>
      <c r="P15" s="3">
        <f t="shared" si="0"/>
        <v>0.72546096713999997</v>
      </c>
      <c r="Q15" s="3">
        <f t="shared" si="0"/>
        <v>6.6060564981000001</v>
      </c>
    </row>
    <row r="16" spans="1:17" x14ac:dyDescent="0.3">
      <c r="A16" s="5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2">
        <f t="shared" si="1"/>
        <v>0.52404831392000006</v>
      </c>
      <c r="K16" s="2">
        <f t="shared" si="0"/>
        <v>1.0769728540999999</v>
      </c>
      <c r="L16" s="2">
        <f t="shared" si="0"/>
        <v>0.24713139884000002</v>
      </c>
      <c r="M16" s="2">
        <f t="shared" si="0"/>
        <v>0.75262834683000002</v>
      </c>
      <c r="N16" s="3">
        <f t="shared" si="0"/>
        <v>3.2033455679</v>
      </c>
      <c r="O16" s="3">
        <f t="shared" si="0"/>
        <v>7.3714760673999997</v>
      </c>
      <c r="P16" s="3">
        <f t="shared" si="0"/>
        <v>0.70747939195000009</v>
      </c>
      <c r="Q16" s="3">
        <f t="shared" si="0"/>
        <v>6.1914474728800002</v>
      </c>
    </row>
    <row r="17" spans="1:18" x14ac:dyDescent="0.3">
      <c r="A17" s="5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  <c r="J17" s="2">
        <f t="shared" si="1"/>
        <v>0.48774924933999997</v>
      </c>
      <c r="K17" s="2">
        <f t="shared" si="0"/>
        <v>0.92000761225999994</v>
      </c>
      <c r="L17" s="2">
        <f t="shared" si="0"/>
        <v>0.24630020230999999</v>
      </c>
      <c r="M17" s="2">
        <f t="shared" si="0"/>
        <v>0.74187775175000004</v>
      </c>
      <c r="N17" s="3">
        <f t="shared" si="0"/>
        <v>3.1525831175999999</v>
      </c>
      <c r="O17" s="3">
        <f t="shared" si="0"/>
        <v>8.1105075431000007</v>
      </c>
      <c r="P17" s="3">
        <f t="shared" si="0"/>
        <v>0.68442172636999998</v>
      </c>
      <c r="Q17" s="3">
        <f t="shared" si="0"/>
        <v>6.4037848939700002</v>
      </c>
    </row>
    <row r="18" spans="1:18" x14ac:dyDescent="0.3">
      <c r="A18" s="5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2">
        <f t="shared" si="1"/>
        <v>0.54341458967999989</v>
      </c>
      <c r="K18" s="2">
        <f t="shared" ref="K18:K59" si="2">FIXED(SUBSTITUTE(C18,".",","),2)/(1000^3)</f>
        <v>0.88573965447000003</v>
      </c>
      <c r="L18" s="2">
        <f t="shared" ref="L18:L59" si="3">FIXED(SUBSTITUTE(D18,".",","),2)/(1000^3)</f>
        <v>0.28193965130999998</v>
      </c>
      <c r="M18" s="2">
        <f t="shared" ref="M18:M59" si="4">FIXED(SUBSTITUTE(E18,".",","),2)/(1000^3)</f>
        <v>0.73345083195000005</v>
      </c>
      <c r="N18" s="3">
        <f t="shared" ref="N18:N59" si="5">FIXED(SUBSTITUTE(F18,".",","),2)/(1000^3)</f>
        <v>3.23467167588</v>
      </c>
      <c r="O18" s="3">
        <f t="shared" ref="O18:O59" si="6">FIXED(SUBSTITUTE(G18,".",","),2)/(1000^3)</f>
        <v>7.4252995271</v>
      </c>
      <c r="P18" s="3">
        <f t="shared" ref="P18:P59" si="7">FIXED(SUBSTITUTE(H18,".",","),2)/(1000^3)</f>
        <v>0.69942135252999993</v>
      </c>
      <c r="Q18" s="3">
        <f t="shared" ref="Q18:Q59" si="8">FIXED(SUBSTITUTE(I18,".",","),2)/(1000^3)</f>
        <v>6.2230148066600002</v>
      </c>
      <c r="R18" s="4" t="s">
        <v>531</v>
      </c>
    </row>
    <row r="19" spans="1:18" x14ac:dyDescent="0.3">
      <c r="A19" s="5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  <c r="J19" s="2">
        <f t="shared" si="1"/>
        <v>0.52360696996</v>
      </c>
      <c r="K19" s="2">
        <f t="shared" si="2"/>
        <v>0.96773340674999997</v>
      </c>
      <c r="L19" s="2">
        <f t="shared" si="3"/>
        <v>0.26410487472999999</v>
      </c>
      <c r="M19" s="2">
        <f t="shared" si="4"/>
        <v>0.79603645237999998</v>
      </c>
      <c r="N19" s="3">
        <f t="shared" si="5"/>
        <v>3.1823920649600002</v>
      </c>
      <c r="O19" s="3">
        <f t="shared" si="6"/>
        <v>8.167586613300001</v>
      </c>
      <c r="P19" s="3">
        <f t="shared" si="7"/>
        <v>0.65283200480999992</v>
      </c>
      <c r="Q19" s="3">
        <f t="shared" si="8"/>
        <v>6.3058204832299998</v>
      </c>
    </row>
    <row r="20" spans="1:18" x14ac:dyDescent="0.3">
      <c r="A20" s="5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  <c r="J20" s="2">
        <f t="shared" si="1"/>
        <v>9.4216261799999992E-2</v>
      </c>
      <c r="K20" s="2">
        <f t="shared" si="2"/>
        <v>0.30718429366000005</v>
      </c>
      <c r="L20" s="2">
        <f t="shared" si="3"/>
        <v>9.8393733000000003E-4</v>
      </c>
      <c r="M20" s="2">
        <f t="shared" si="4"/>
        <v>0.22344090656999999</v>
      </c>
      <c r="N20" s="3">
        <f t="shared" si="5"/>
        <v>0.44603743322</v>
      </c>
      <c r="O20" s="3">
        <f t="shared" si="6"/>
        <v>1.065463445</v>
      </c>
      <c r="P20" s="3">
        <f t="shared" si="7"/>
        <v>6.3114132599999999E-3</v>
      </c>
      <c r="Q20" s="3">
        <f t="shared" si="8"/>
        <v>0.85760760483999998</v>
      </c>
    </row>
    <row r="21" spans="1:18" x14ac:dyDescent="0.3">
      <c r="A21" s="5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2">
        <f t="shared" si="1"/>
        <v>7.8098411349999994E-2</v>
      </c>
      <c r="K21" s="2">
        <f t="shared" si="2"/>
        <v>0.41443979026</v>
      </c>
      <c r="L21" s="2">
        <f t="shared" si="3"/>
        <v>2.4668208600000002E-2</v>
      </c>
      <c r="M21" s="2">
        <f t="shared" si="4"/>
        <v>0.22927755099000002</v>
      </c>
      <c r="N21" s="3">
        <f t="shared" si="5"/>
        <v>0.40841337641000003</v>
      </c>
      <c r="O21" s="3">
        <f t="shared" si="6"/>
        <v>1.0426572461000001</v>
      </c>
      <c r="P21" s="3">
        <f t="shared" si="7"/>
        <v>8.0055636930000007E-2</v>
      </c>
      <c r="Q21" s="3">
        <f t="shared" si="8"/>
        <v>0.78168568265999994</v>
      </c>
    </row>
    <row r="22" spans="1:18" x14ac:dyDescent="0.3">
      <c r="A22" s="5" t="s">
        <v>189</v>
      </c>
      <c r="B22" s="1" t="s">
        <v>190</v>
      </c>
      <c r="C22" s="1" t="s">
        <v>191</v>
      </c>
      <c r="D22" s="1" t="s">
        <v>192</v>
      </c>
      <c r="E22" s="1" t="s">
        <v>193</v>
      </c>
      <c r="J22" s="3">
        <f t="shared" si="1"/>
        <v>0.42736802624000003</v>
      </c>
      <c r="K22" s="3">
        <f t="shared" si="2"/>
        <v>0.43671339313999996</v>
      </c>
      <c r="L22" s="3">
        <f t="shared" si="3"/>
        <v>0.40577527323000001</v>
      </c>
      <c r="M22" s="3">
        <f t="shared" si="4"/>
        <v>0.43546641324000002</v>
      </c>
      <c r="N22" s="2"/>
      <c r="O22" s="2"/>
      <c r="P22" s="2"/>
      <c r="Q22" s="2"/>
    </row>
    <row r="23" spans="1:18" x14ac:dyDescent="0.3">
      <c r="A23" s="5" t="s">
        <v>194</v>
      </c>
      <c r="B23" s="1" t="s">
        <v>195</v>
      </c>
      <c r="C23" s="1" t="s">
        <v>196</v>
      </c>
      <c r="D23" s="1" t="s">
        <v>197</v>
      </c>
      <c r="E23" s="1" t="s">
        <v>198</v>
      </c>
      <c r="J23" s="3">
        <f t="shared" si="1"/>
        <v>0.42428844017</v>
      </c>
      <c r="K23" s="3">
        <f t="shared" si="2"/>
        <v>0.42731983767999998</v>
      </c>
      <c r="L23" s="3">
        <f t="shared" si="3"/>
        <v>0.39200937034</v>
      </c>
      <c r="M23" s="3">
        <f t="shared" si="4"/>
        <v>0.42589413104000001</v>
      </c>
      <c r="N23" s="2"/>
      <c r="O23" s="2"/>
      <c r="P23" s="2"/>
      <c r="Q23" s="2"/>
    </row>
    <row r="24" spans="1:18" x14ac:dyDescent="0.3">
      <c r="A24" s="5" t="s">
        <v>199</v>
      </c>
      <c r="B24" s="1" t="s">
        <v>200</v>
      </c>
      <c r="C24" s="1" t="s">
        <v>201</v>
      </c>
      <c r="D24" s="1" t="s">
        <v>202</v>
      </c>
      <c r="E24" s="1" t="s">
        <v>203</v>
      </c>
      <c r="F24" s="1" t="s">
        <v>204</v>
      </c>
      <c r="G24" s="1" t="s">
        <v>205</v>
      </c>
      <c r="H24" s="1" t="s">
        <v>206</v>
      </c>
      <c r="I24" s="1" t="s">
        <v>207</v>
      </c>
      <c r="J24" s="2">
        <f t="shared" si="1"/>
        <v>1.0631609E-4</v>
      </c>
      <c r="K24" s="2">
        <f t="shared" si="2"/>
        <v>2.531755548E-2</v>
      </c>
      <c r="L24" s="2">
        <f t="shared" si="3"/>
        <v>5.7692299999999993E-6</v>
      </c>
      <c r="M24" s="2">
        <f t="shared" si="4"/>
        <v>1.2165357000000001E-4</v>
      </c>
      <c r="N24" s="3">
        <f t="shared" si="5"/>
        <v>0.2986390162</v>
      </c>
      <c r="O24" s="3">
        <f t="shared" si="6"/>
        <v>0.40855966377999997</v>
      </c>
      <c r="P24" s="3">
        <f t="shared" si="7"/>
        <v>0.25107387497</v>
      </c>
      <c r="Q24" s="3">
        <f t="shared" si="8"/>
        <v>0.30397315313000001</v>
      </c>
    </row>
    <row r="25" spans="1:18" x14ac:dyDescent="0.3">
      <c r="A25" s="5" t="s">
        <v>208</v>
      </c>
      <c r="B25" s="1" t="s">
        <v>209</v>
      </c>
      <c r="C25" s="1" t="s">
        <v>210</v>
      </c>
      <c r="D25" s="1" t="s">
        <v>211</v>
      </c>
      <c r="E25" s="1" t="s">
        <v>212</v>
      </c>
      <c r="F25" s="1" t="s">
        <v>213</v>
      </c>
      <c r="G25" s="1" t="s">
        <v>214</v>
      </c>
      <c r="H25" s="1" t="s">
        <v>215</v>
      </c>
      <c r="I25" s="1" t="s">
        <v>216</v>
      </c>
      <c r="J25" s="2">
        <f t="shared" si="1"/>
        <v>3.6795209999999997E-5</v>
      </c>
      <c r="K25" s="2">
        <f t="shared" si="2"/>
        <v>2.2650416E-4</v>
      </c>
      <c r="L25" s="2">
        <f t="shared" si="3"/>
        <v>7.0007299999999993E-6</v>
      </c>
      <c r="M25" s="2">
        <f t="shared" si="4"/>
        <v>1.3039852999999999E-4</v>
      </c>
      <c r="N25" s="3">
        <f t="shared" si="5"/>
        <v>0.29616068685000002</v>
      </c>
      <c r="O25" s="3">
        <f t="shared" si="6"/>
        <v>0.29640813770999996</v>
      </c>
      <c r="P25" s="3">
        <f t="shared" si="7"/>
        <v>0.29273170000999998</v>
      </c>
      <c r="Q25" s="3">
        <f t="shared" si="8"/>
        <v>0.29630725937000002</v>
      </c>
    </row>
    <row r="26" spans="1:18" x14ac:dyDescent="0.3">
      <c r="A26" s="5" t="s">
        <v>217</v>
      </c>
      <c r="B26" s="1" t="s">
        <v>218</v>
      </c>
      <c r="C26" s="1" t="s">
        <v>219</v>
      </c>
      <c r="D26" s="1" t="s">
        <v>220</v>
      </c>
      <c r="E26" s="1" t="s">
        <v>221</v>
      </c>
      <c r="F26" s="1" t="s">
        <v>222</v>
      </c>
      <c r="G26" s="1" t="s">
        <v>223</v>
      </c>
      <c r="H26" s="1" t="s">
        <v>224</v>
      </c>
      <c r="I26" s="1" t="s">
        <v>225</v>
      </c>
      <c r="J26" s="2">
        <f t="shared" si="1"/>
        <v>0.47897211598</v>
      </c>
      <c r="K26" s="2">
        <f t="shared" si="2"/>
        <v>0.83368468657000006</v>
      </c>
      <c r="L26" s="2">
        <f t="shared" si="3"/>
        <v>0.15317967680000003</v>
      </c>
      <c r="M26" s="2">
        <f t="shared" si="4"/>
        <v>0.71915080222000005</v>
      </c>
      <c r="N26" s="3">
        <f t="shared" si="5"/>
        <v>1.65522542757</v>
      </c>
      <c r="O26" s="3">
        <f t="shared" si="6"/>
        <v>3.9225848048</v>
      </c>
      <c r="P26" s="3">
        <f t="shared" si="7"/>
        <v>0.40971840553</v>
      </c>
      <c r="Q26" s="3">
        <f t="shared" si="8"/>
        <v>3.09949007641</v>
      </c>
    </row>
    <row r="27" spans="1:18" x14ac:dyDescent="0.3">
      <c r="A27" s="5" t="s">
        <v>226</v>
      </c>
      <c r="B27" s="1" t="s">
        <v>227</v>
      </c>
      <c r="C27" s="1" t="s">
        <v>228</v>
      </c>
      <c r="D27" s="1" t="s">
        <v>229</v>
      </c>
      <c r="E27" s="1" t="s">
        <v>230</v>
      </c>
      <c r="F27" s="1" t="s">
        <v>231</v>
      </c>
      <c r="G27" s="1" t="s">
        <v>232</v>
      </c>
      <c r="H27" s="1" t="s">
        <v>233</v>
      </c>
      <c r="I27" s="1" t="s">
        <v>234</v>
      </c>
      <c r="J27" s="2">
        <f t="shared" si="1"/>
        <v>0.43356334175</v>
      </c>
      <c r="K27" s="2">
        <f t="shared" si="2"/>
        <v>1.0553717492000001</v>
      </c>
      <c r="L27" s="2">
        <f t="shared" si="3"/>
        <v>0.14152952551</v>
      </c>
      <c r="M27" s="2">
        <f t="shared" si="4"/>
        <v>0.78160800382000006</v>
      </c>
      <c r="N27" s="3">
        <f t="shared" si="5"/>
        <v>1.6748230799700001</v>
      </c>
      <c r="O27" s="3">
        <f t="shared" si="6"/>
        <v>4.1875452463</v>
      </c>
      <c r="P27" s="3">
        <f t="shared" si="7"/>
        <v>0.37663703374000002</v>
      </c>
      <c r="Q27" s="3">
        <f t="shared" si="8"/>
        <v>3.2953236534000001</v>
      </c>
    </row>
    <row r="28" spans="1:18" x14ac:dyDescent="0.3">
      <c r="A28" s="5" t="s">
        <v>235</v>
      </c>
      <c r="B28" s="1" t="s">
        <v>236</v>
      </c>
      <c r="C28" s="1" t="s">
        <v>237</v>
      </c>
      <c r="D28" s="1" t="s">
        <v>238</v>
      </c>
      <c r="E28" s="1" t="s">
        <v>239</v>
      </c>
      <c r="F28" s="1" t="s">
        <v>240</v>
      </c>
      <c r="G28" s="1" t="s">
        <v>241</v>
      </c>
      <c r="H28" s="1" t="s">
        <v>242</v>
      </c>
      <c r="I28" s="1" t="s">
        <v>243</v>
      </c>
      <c r="J28" s="3">
        <f t="shared" si="1"/>
        <v>2.65668494198</v>
      </c>
      <c r="K28" s="3">
        <f t="shared" si="2"/>
        <v>7.8133480843000003</v>
      </c>
      <c r="L28" s="3">
        <f t="shared" si="3"/>
        <v>0.54880217716999991</v>
      </c>
      <c r="M28" s="3">
        <f t="shared" si="4"/>
        <v>5.6430358871499999</v>
      </c>
      <c r="N28" s="2">
        <f t="shared" si="5"/>
        <v>0.8560180410599999</v>
      </c>
      <c r="O28" s="2">
        <f t="shared" si="6"/>
        <v>1.9936015740999999</v>
      </c>
      <c r="P28" s="2">
        <f t="shared" si="7"/>
        <v>0.31240953658999998</v>
      </c>
      <c r="Q28" s="2">
        <f t="shared" si="8"/>
        <v>1.2275943675100001</v>
      </c>
    </row>
    <row r="29" spans="1:18" x14ac:dyDescent="0.3">
      <c r="A29" s="5" t="s">
        <v>244</v>
      </c>
      <c r="B29" s="1" t="s">
        <v>245</v>
      </c>
      <c r="C29" s="1" t="s">
        <v>246</v>
      </c>
      <c r="D29" s="1" t="s">
        <v>247</v>
      </c>
      <c r="E29" s="1" t="s">
        <v>248</v>
      </c>
      <c r="F29" s="1" t="s">
        <v>249</v>
      </c>
      <c r="G29" s="1" t="s">
        <v>250</v>
      </c>
      <c r="H29" s="1" t="s">
        <v>251</v>
      </c>
      <c r="I29" s="1" t="s">
        <v>252</v>
      </c>
      <c r="J29" s="3">
        <f t="shared" si="1"/>
        <v>2.4993910720599999</v>
      </c>
      <c r="K29" s="3">
        <f t="shared" si="2"/>
        <v>7.4233213898999999</v>
      </c>
      <c r="L29" s="3">
        <f t="shared" si="3"/>
        <v>0.51893392811000005</v>
      </c>
      <c r="M29" s="3">
        <f t="shared" si="4"/>
        <v>5.5422996907000002</v>
      </c>
      <c r="N29" s="2">
        <f t="shared" si="5"/>
        <v>0.83850050920000008</v>
      </c>
      <c r="O29" s="2">
        <f t="shared" si="6"/>
        <v>1.6205132935</v>
      </c>
      <c r="P29" s="2">
        <f t="shared" si="7"/>
        <v>0.27556581029999999</v>
      </c>
      <c r="Q29" s="2">
        <f t="shared" si="8"/>
        <v>1.24366205353</v>
      </c>
    </row>
    <row r="30" spans="1:18" x14ac:dyDescent="0.3">
      <c r="A30" s="5" t="s">
        <v>253</v>
      </c>
      <c r="B30" s="1" t="s">
        <v>254</v>
      </c>
      <c r="C30" s="1" t="s">
        <v>255</v>
      </c>
      <c r="D30" s="1" t="s">
        <v>256</v>
      </c>
      <c r="E30" s="1" t="s">
        <v>257</v>
      </c>
      <c r="F30" s="1" t="s">
        <v>258</v>
      </c>
      <c r="G30" s="1" t="s">
        <v>259</v>
      </c>
      <c r="H30" s="1" t="s">
        <v>260</v>
      </c>
      <c r="I30" s="1" t="s">
        <v>261</v>
      </c>
      <c r="J30" s="2">
        <f t="shared" si="1"/>
        <v>2.4544606369999999E-2</v>
      </c>
      <c r="K30" s="2">
        <f t="shared" si="2"/>
        <v>0.33590470256999999</v>
      </c>
      <c r="L30" s="2">
        <f t="shared" si="3"/>
        <v>1.3365810399999999E-3</v>
      </c>
      <c r="M30" s="2">
        <f t="shared" si="4"/>
        <v>0.11708527953</v>
      </c>
      <c r="N30" s="3">
        <f t="shared" si="5"/>
        <v>5.3957708700000002E-2</v>
      </c>
      <c r="O30" s="3">
        <f t="shared" si="6"/>
        <v>0.98206955814999997</v>
      </c>
      <c r="P30" s="3">
        <f t="shared" si="7"/>
        <v>1.2830959999999999E-5</v>
      </c>
      <c r="Q30" s="3">
        <f t="shared" si="8"/>
        <v>0.50412558379000005</v>
      </c>
    </row>
    <row r="31" spans="1:18" x14ac:dyDescent="0.3">
      <c r="A31" s="5" t="s">
        <v>262</v>
      </c>
      <c r="B31" s="1" t="s">
        <v>263</v>
      </c>
      <c r="C31" s="1" t="s">
        <v>264</v>
      </c>
      <c r="D31" s="1" t="s">
        <v>265</v>
      </c>
      <c r="E31" s="1" t="s">
        <v>266</v>
      </c>
      <c r="F31" s="1" t="s">
        <v>267</v>
      </c>
      <c r="G31" s="1" t="s">
        <v>268</v>
      </c>
      <c r="H31" s="1" t="s">
        <v>269</v>
      </c>
      <c r="I31" s="1" t="s">
        <v>270</v>
      </c>
      <c r="J31" s="2">
        <f t="shared" si="1"/>
        <v>1.1177296630000002E-2</v>
      </c>
      <c r="K31" s="2">
        <f t="shared" si="2"/>
        <v>7.6393202889999998E-2</v>
      </c>
      <c r="L31" s="2">
        <f t="shared" si="3"/>
        <v>7.7201805000000009E-4</v>
      </c>
      <c r="M31" s="2">
        <f t="shared" si="4"/>
        <v>2.8168974820000001E-2</v>
      </c>
      <c r="N31" s="3">
        <f t="shared" si="5"/>
        <v>5.2906486999999998E-4</v>
      </c>
      <c r="O31" s="3">
        <f t="shared" si="6"/>
        <v>0.15808484135</v>
      </c>
      <c r="P31" s="3">
        <f t="shared" si="7"/>
        <v>1.2786680000000001E-5</v>
      </c>
      <c r="Q31" s="3">
        <f t="shared" si="8"/>
        <v>2.1329009000000001E-4</v>
      </c>
    </row>
    <row r="32" spans="1:18" x14ac:dyDescent="0.3">
      <c r="A32" s="5" t="s">
        <v>271</v>
      </c>
      <c r="B32" s="1" t="s">
        <v>272</v>
      </c>
      <c r="C32" s="1" t="s">
        <v>273</v>
      </c>
      <c r="D32" s="1" t="s">
        <v>274</v>
      </c>
      <c r="E32" s="1" t="s">
        <v>275</v>
      </c>
      <c r="F32" s="1" t="s">
        <v>276</v>
      </c>
      <c r="G32" s="1" t="s">
        <v>277</v>
      </c>
      <c r="H32" s="1" t="s">
        <v>278</v>
      </c>
      <c r="I32" s="1" t="s">
        <v>279</v>
      </c>
      <c r="J32" s="2">
        <f t="shared" si="1"/>
        <v>7.2562799999999998E-6</v>
      </c>
      <c r="K32" s="2">
        <f t="shared" si="2"/>
        <v>7.3024700000000004E-6</v>
      </c>
      <c r="L32" s="2">
        <f t="shared" si="3"/>
        <v>7.1472500000000001E-6</v>
      </c>
      <c r="M32" s="2">
        <f t="shared" si="4"/>
        <v>7.2967399999999994E-6</v>
      </c>
      <c r="N32" s="3">
        <f t="shared" si="5"/>
        <v>0.52842090476000003</v>
      </c>
      <c r="O32" s="3">
        <f t="shared" si="6"/>
        <v>0.53630124323000006</v>
      </c>
      <c r="P32" s="3">
        <f t="shared" si="7"/>
        <v>0.51124103431000001</v>
      </c>
      <c r="Q32" s="3">
        <f t="shared" si="8"/>
        <v>0.53593782008000002</v>
      </c>
    </row>
    <row r="33" spans="1:17" x14ac:dyDescent="0.3">
      <c r="A33" s="5" t="s">
        <v>280</v>
      </c>
      <c r="B33" s="1" t="s">
        <v>281</v>
      </c>
      <c r="C33" s="1" t="s">
        <v>282</v>
      </c>
      <c r="D33" s="1" t="s">
        <v>283</v>
      </c>
      <c r="E33" s="1" t="s">
        <v>284</v>
      </c>
      <c r="F33" s="1" t="s">
        <v>285</v>
      </c>
      <c r="G33" s="1" t="s">
        <v>286</v>
      </c>
      <c r="H33" s="1" t="s">
        <v>287</v>
      </c>
      <c r="I33" s="1" t="s">
        <v>288</v>
      </c>
      <c r="J33" s="2">
        <f t="shared" si="1"/>
        <v>7.2895600000000002E-6</v>
      </c>
      <c r="K33" s="2">
        <f t="shared" si="2"/>
        <v>7.3150100000000001E-6</v>
      </c>
      <c r="L33" s="2">
        <f t="shared" si="3"/>
        <v>7.2251599999999996E-6</v>
      </c>
      <c r="M33" s="2">
        <f t="shared" si="4"/>
        <v>7.3086499999999999E-6</v>
      </c>
      <c r="N33" s="3">
        <f t="shared" si="5"/>
        <v>0.52139203252999999</v>
      </c>
      <c r="O33" s="3">
        <f t="shared" si="6"/>
        <v>0.52273314132000004</v>
      </c>
      <c r="P33" s="3">
        <f t="shared" si="7"/>
        <v>0.51223590056000001</v>
      </c>
      <c r="Q33" s="3">
        <f t="shared" si="8"/>
        <v>0.52193339622000001</v>
      </c>
    </row>
    <row r="34" spans="1:17" x14ac:dyDescent="0.3">
      <c r="A34" s="5" t="s">
        <v>289</v>
      </c>
      <c r="B34" s="1" t="s">
        <v>290</v>
      </c>
      <c r="C34" s="1" t="s">
        <v>291</v>
      </c>
      <c r="D34" s="1" t="s">
        <v>292</v>
      </c>
      <c r="E34" s="1" t="s">
        <v>293</v>
      </c>
      <c r="F34" s="1" t="s">
        <v>294</v>
      </c>
      <c r="G34" s="1" t="s">
        <v>295</v>
      </c>
      <c r="H34" s="1" t="s">
        <v>296</v>
      </c>
      <c r="I34" s="1" t="s">
        <v>297</v>
      </c>
      <c r="J34" s="2">
        <f t="shared" si="1"/>
        <v>0.10092076475</v>
      </c>
      <c r="K34" s="2">
        <f t="shared" si="2"/>
        <v>0.25202445726</v>
      </c>
      <c r="L34" s="2">
        <f t="shared" si="3"/>
        <v>3.3098743530000002E-2</v>
      </c>
      <c r="M34" s="2">
        <f t="shared" si="4"/>
        <v>0.17702282925999999</v>
      </c>
      <c r="N34" s="3">
        <f t="shared" si="5"/>
        <v>9.2652599999999998E-6</v>
      </c>
      <c r="O34" s="3">
        <f t="shared" si="6"/>
        <v>9.9299412000000004E-4</v>
      </c>
      <c r="P34" s="3">
        <f t="shared" si="7"/>
        <v>2.5446300000000001E-6</v>
      </c>
      <c r="Q34" s="3">
        <f t="shared" si="8"/>
        <v>6.6086800000000002E-6</v>
      </c>
    </row>
    <row r="35" spans="1:17" x14ac:dyDescent="0.3">
      <c r="A35" s="5" t="s">
        <v>298</v>
      </c>
      <c r="B35" s="1" t="s">
        <v>299</v>
      </c>
      <c r="C35" s="1" t="s">
        <v>300</v>
      </c>
      <c r="D35" s="1" t="s">
        <v>301</v>
      </c>
      <c r="E35" s="1" t="s">
        <v>302</v>
      </c>
      <c r="F35" s="1" t="s">
        <v>303</v>
      </c>
      <c r="G35" s="1" t="s">
        <v>304</v>
      </c>
      <c r="H35" s="1" t="s">
        <v>305</v>
      </c>
      <c r="I35" s="1" t="s">
        <v>306</v>
      </c>
      <c r="J35" s="2">
        <f t="shared" si="1"/>
        <v>9.5277614029999999E-2</v>
      </c>
      <c r="K35" s="2">
        <f t="shared" si="2"/>
        <v>0.26193619556999997</v>
      </c>
      <c r="L35" s="2">
        <f t="shared" si="3"/>
        <v>3.0004111409999999E-2</v>
      </c>
      <c r="M35" s="2">
        <f t="shared" si="4"/>
        <v>0.17678673724999999</v>
      </c>
      <c r="N35" s="3">
        <f t="shared" si="5"/>
        <v>6.5986599999999998E-6</v>
      </c>
      <c r="O35" s="3">
        <f t="shared" si="6"/>
        <v>6.6320500000000003E-6</v>
      </c>
      <c r="P35" s="3">
        <f t="shared" si="7"/>
        <v>6.5444799999999992E-6</v>
      </c>
      <c r="Q35" s="3">
        <f t="shared" si="8"/>
        <v>6.6198500000000007E-6</v>
      </c>
    </row>
    <row r="36" spans="1:17" x14ac:dyDescent="0.3">
      <c r="A36" s="5" t="s">
        <v>307</v>
      </c>
      <c r="B36" s="1" t="s">
        <v>308</v>
      </c>
      <c r="C36" s="1" t="s">
        <v>309</v>
      </c>
      <c r="D36" s="1" t="s">
        <v>310</v>
      </c>
      <c r="E36" s="1" t="s">
        <v>311</v>
      </c>
      <c r="F36" s="1" t="s">
        <v>312</v>
      </c>
      <c r="G36" s="1" t="s">
        <v>313</v>
      </c>
      <c r="H36" s="1" t="s">
        <v>314</v>
      </c>
      <c r="I36" s="1" t="s">
        <v>315</v>
      </c>
      <c r="J36" s="3">
        <f t="shared" si="1"/>
        <v>3.2909052660199998</v>
      </c>
      <c r="K36" s="3">
        <f t="shared" si="2"/>
        <v>7.2902589053</v>
      </c>
      <c r="L36" s="3">
        <f t="shared" si="3"/>
        <v>0.65057684240000002</v>
      </c>
      <c r="M36" s="3">
        <f t="shared" si="4"/>
        <v>5.9792308081599996</v>
      </c>
      <c r="N36" s="2">
        <f t="shared" si="5"/>
        <v>0.40924758007000001</v>
      </c>
      <c r="O36" s="2">
        <f t="shared" si="6"/>
        <v>0.98988416604999996</v>
      </c>
      <c r="P36" s="2">
        <f t="shared" si="7"/>
        <v>0.11417116307</v>
      </c>
      <c r="Q36" s="2">
        <f t="shared" si="8"/>
        <v>0.66112798401999995</v>
      </c>
    </row>
    <row r="37" spans="1:17" x14ac:dyDescent="0.3">
      <c r="A37" s="5" t="s">
        <v>316</v>
      </c>
      <c r="B37" s="1" t="s">
        <v>317</v>
      </c>
      <c r="C37" s="1" t="s">
        <v>318</v>
      </c>
      <c r="D37" s="1" t="s">
        <v>319</v>
      </c>
      <c r="E37" s="1" t="s">
        <v>320</v>
      </c>
      <c r="F37" s="1" t="s">
        <v>321</v>
      </c>
      <c r="G37" s="1" t="s">
        <v>322</v>
      </c>
      <c r="H37" s="1" t="s">
        <v>323</v>
      </c>
      <c r="I37" s="1" t="s">
        <v>324</v>
      </c>
      <c r="J37" s="3">
        <f t="shared" si="1"/>
        <v>3.44459365689</v>
      </c>
      <c r="K37" s="3">
        <f t="shared" si="2"/>
        <v>8.1453092053000002</v>
      </c>
      <c r="L37" s="3">
        <f t="shared" si="3"/>
        <v>0.58754880630999995</v>
      </c>
      <c r="M37" s="3">
        <f t="shared" si="4"/>
        <v>6.9092378180000003</v>
      </c>
      <c r="N37" s="2">
        <f t="shared" si="5"/>
        <v>0.39599296756000002</v>
      </c>
      <c r="O37" s="2">
        <f t="shared" si="6"/>
        <v>1.0659698935999999</v>
      </c>
      <c r="P37" s="2">
        <f t="shared" si="7"/>
        <v>0.10558014617</v>
      </c>
      <c r="Q37" s="2">
        <f t="shared" si="8"/>
        <v>0.72345134389999999</v>
      </c>
    </row>
    <row r="38" spans="1:17" x14ac:dyDescent="0.3">
      <c r="A38" s="5" t="s">
        <v>325</v>
      </c>
      <c r="B38" s="1" t="s">
        <v>326</v>
      </c>
      <c r="C38" s="1" t="s">
        <v>327</v>
      </c>
      <c r="D38" s="1" t="s">
        <v>328</v>
      </c>
      <c r="E38" s="1" t="s">
        <v>329</v>
      </c>
      <c r="F38" s="1" t="s">
        <v>330</v>
      </c>
      <c r="G38" s="1" t="s">
        <v>331</v>
      </c>
      <c r="H38" s="1" t="s">
        <v>332</v>
      </c>
      <c r="I38" s="1" t="s">
        <v>333</v>
      </c>
      <c r="J38" s="3">
        <f t="shared" si="1"/>
        <v>1.7460770665799998</v>
      </c>
      <c r="K38" s="3">
        <f t="shared" si="2"/>
        <v>4.6011300028999997</v>
      </c>
      <c r="L38" s="3">
        <f t="shared" si="3"/>
        <v>0.55132740720000006</v>
      </c>
      <c r="M38" s="3">
        <f t="shared" si="4"/>
        <v>3.4742567159400002</v>
      </c>
      <c r="N38" s="2">
        <f t="shared" si="5"/>
        <v>0.57597178773000002</v>
      </c>
      <c r="O38" s="2">
        <f t="shared" si="6"/>
        <v>0.95858171357999999</v>
      </c>
      <c r="P38" s="2">
        <f t="shared" si="7"/>
        <v>0.30375439504000001</v>
      </c>
      <c r="Q38" s="2">
        <f t="shared" si="8"/>
        <v>0.79591550661999999</v>
      </c>
    </row>
    <row r="39" spans="1:17" x14ac:dyDescent="0.3">
      <c r="A39" s="5" t="s">
        <v>334</v>
      </c>
      <c r="B39" s="1" t="s">
        <v>335</v>
      </c>
      <c r="C39" s="1" t="s">
        <v>336</v>
      </c>
      <c r="D39" s="1" t="s">
        <v>337</v>
      </c>
      <c r="E39" s="1" t="s">
        <v>338</v>
      </c>
      <c r="F39" s="1" t="s">
        <v>339</v>
      </c>
      <c r="G39" s="1" t="s">
        <v>340</v>
      </c>
      <c r="H39" s="1" t="s">
        <v>341</v>
      </c>
      <c r="I39" s="1" t="s">
        <v>342</v>
      </c>
      <c r="J39" s="3">
        <f t="shared" si="1"/>
        <v>1.5175155331600001</v>
      </c>
      <c r="K39" s="3">
        <f t="shared" si="2"/>
        <v>3.9025094868000001</v>
      </c>
      <c r="L39" s="3">
        <f t="shared" si="3"/>
        <v>0.50577536885999996</v>
      </c>
      <c r="M39" s="3">
        <f t="shared" si="4"/>
        <v>3.08791401573</v>
      </c>
      <c r="N39" s="2">
        <f t="shared" si="5"/>
        <v>0.59524459637000005</v>
      </c>
      <c r="O39" s="2">
        <f t="shared" si="6"/>
        <v>1.0292269136000001</v>
      </c>
      <c r="P39" s="2">
        <f t="shared" si="7"/>
        <v>0.27745576093000002</v>
      </c>
      <c r="Q39" s="2">
        <f t="shared" si="8"/>
        <v>0.85784189716999992</v>
      </c>
    </row>
    <row r="40" spans="1:17" x14ac:dyDescent="0.3">
      <c r="A40" s="5" t="s">
        <v>343</v>
      </c>
      <c r="B40" s="1" t="s">
        <v>344</v>
      </c>
      <c r="C40" s="1" t="s">
        <v>345</v>
      </c>
      <c r="D40" s="1" t="s">
        <v>346</v>
      </c>
      <c r="E40" s="1" t="s">
        <v>347</v>
      </c>
      <c r="F40" s="1" t="s">
        <v>348</v>
      </c>
      <c r="G40" s="1" t="s">
        <v>349</v>
      </c>
      <c r="H40" s="1" t="s">
        <v>350</v>
      </c>
      <c r="I40" s="1" t="s">
        <v>351</v>
      </c>
      <c r="J40" s="3">
        <f t="shared" si="1"/>
        <v>0.90369654452999992</v>
      </c>
      <c r="K40" s="3">
        <f t="shared" si="2"/>
        <v>3.2304858519000001</v>
      </c>
      <c r="L40" s="3">
        <f t="shared" si="3"/>
        <v>0.10436551821999999</v>
      </c>
      <c r="M40" s="3">
        <f t="shared" si="4"/>
        <v>2.3022986428699999</v>
      </c>
      <c r="N40" s="2">
        <f t="shared" si="5"/>
        <v>1.129453295E-2</v>
      </c>
      <c r="O40" s="2">
        <f t="shared" si="6"/>
        <v>3.8271363920000002E-2</v>
      </c>
      <c r="P40" s="2">
        <f t="shared" si="7"/>
        <v>1.52065465E-3</v>
      </c>
      <c r="Q40" s="2">
        <f t="shared" si="8"/>
        <v>2.8941099510000002E-2</v>
      </c>
    </row>
    <row r="41" spans="1:17" x14ac:dyDescent="0.3">
      <c r="A41" s="5" t="s">
        <v>352</v>
      </c>
      <c r="B41" s="1" t="s">
        <v>353</v>
      </c>
      <c r="C41" s="1" t="s">
        <v>354</v>
      </c>
      <c r="D41" s="1" t="s">
        <v>355</v>
      </c>
      <c r="E41" s="1" t="s">
        <v>356</v>
      </c>
      <c r="F41" s="1" t="s">
        <v>357</v>
      </c>
      <c r="G41" s="1" t="s">
        <v>358</v>
      </c>
      <c r="H41" s="1" t="s">
        <v>359</v>
      </c>
      <c r="I41" s="1" t="s">
        <v>360</v>
      </c>
      <c r="J41" s="3">
        <f t="shared" si="1"/>
        <v>0.86895562560000006</v>
      </c>
      <c r="K41" s="3">
        <f t="shared" si="2"/>
        <v>3.0274735974000002</v>
      </c>
      <c r="L41" s="3">
        <f t="shared" si="3"/>
        <v>7.9019864959999991E-2</v>
      </c>
      <c r="M41" s="3">
        <f t="shared" si="4"/>
        <v>2.3227178285300001</v>
      </c>
      <c r="N41" s="2">
        <f t="shared" si="5"/>
        <v>1.068943705E-2</v>
      </c>
      <c r="O41" s="2">
        <f t="shared" si="6"/>
        <v>3.6961530490000005E-2</v>
      </c>
      <c r="P41" s="2">
        <f t="shared" si="7"/>
        <v>1.08021299E-3</v>
      </c>
      <c r="Q41" s="2">
        <f t="shared" si="8"/>
        <v>2.7965364770000001E-2</v>
      </c>
    </row>
    <row r="42" spans="1:17" x14ac:dyDescent="0.3">
      <c r="A42" s="5" t="s">
        <v>361</v>
      </c>
      <c r="B42" s="1" t="s">
        <v>362</v>
      </c>
      <c r="C42" s="1" t="s">
        <v>363</v>
      </c>
      <c r="D42" s="1" t="s">
        <v>364</v>
      </c>
      <c r="E42" s="1" t="s">
        <v>365</v>
      </c>
      <c r="F42" s="1" t="s">
        <v>366</v>
      </c>
      <c r="G42" s="1" t="s">
        <v>367</v>
      </c>
      <c r="H42" s="1" t="s">
        <v>368</v>
      </c>
      <c r="I42" s="1" t="s">
        <v>369</v>
      </c>
      <c r="J42" s="3">
        <f t="shared" si="1"/>
        <v>0.90546137036999996</v>
      </c>
      <c r="K42" s="3">
        <f t="shared" si="2"/>
        <v>3.0426579130000002</v>
      </c>
      <c r="L42" s="3">
        <f t="shared" si="3"/>
        <v>9.9262187400000007E-2</v>
      </c>
      <c r="M42" s="3">
        <f t="shared" si="4"/>
        <v>2.3227909577900001</v>
      </c>
      <c r="N42" s="2">
        <f t="shared" si="5"/>
        <v>1.1367257050000001E-2</v>
      </c>
      <c r="O42" s="2">
        <f t="shared" si="6"/>
        <v>3.784958158E-2</v>
      </c>
      <c r="P42" s="2">
        <f t="shared" si="7"/>
        <v>1.4295023200000001E-3</v>
      </c>
      <c r="Q42" s="2">
        <f t="shared" si="8"/>
        <v>2.9378996969999998E-2</v>
      </c>
    </row>
    <row r="43" spans="1:17" x14ac:dyDescent="0.3">
      <c r="A43" s="5" t="s">
        <v>370</v>
      </c>
      <c r="B43" s="1" t="s">
        <v>371</v>
      </c>
      <c r="C43" s="1" t="s">
        <v>372</v>
      </c>
      <c r="D43" s="1" t="s">
        <v>373</v>
      </c>
      <c r="E43" s="1" t="s">
        <v>374</v>
      </c>
      <c r="F43" s="1" t="s">
        <v>375</v>
      </c>
      <c r="G43" s="1" t="s">
        <v>376</v>
      </c>
      <c r="H43" s="1" t="s">
        <v>377</v>
      </c>
      <c r="I43" s="1" t="s">
        <v>378</v>
      </c>
      <c r="J43" s="3">
        <f t="shared" si="1"/>
        <v>0.87651382616999995</v>
      </c>
      <c r="K43" s="3">
        <f t="shared" si="2"/>
        <v>3.0445451634</v>
      </c>
      <c r="L43" s="3">
        <f t="shared" si="3"/>
        <v>8.8635154209999997E-2</v>
      </c>
      <c r="M43" s="3">
        <f t="shared" si="4"/>
        <v>2.45883336123</v>
      </c>
      <c r="N43" s="2">
        <f t="shared" si="5"/>
        <v>1.0751051730000001E-2</v>
      </c>
      <c r="O43" s="2">
        <f t="shared" si="6"/>
        <v>3.4906690329999997E-2</v>
      </c>
      <c r="P43" s="2">
        <f t="shared" si="7"/>
        <v>1.3288117899999999E-3</v>
      </c>
      <c r="Q43" s="2">
        <f t="shared" si="8"/>
        <v>3.0060385530000001E-2</v>
      </c>
    </row>
    <row r="44" spans="1:17" x14ac:dyDescent="0.3">
      <c r="A44" s="5" t="s">
        <v>379</v>
      </c>
      <c r="B44" s="1" t="s">
        <v>380</v>
      </c>
      <c r="C44" s="1" t="s">
        <v>381</v>
      </c>
      <c r="D44" s="1" t="s">
        <v>382</v>
      </c>
      <c r="E44" s="1" t="s">
        <v>383</v>
      </c>
      <c r="F44" s="1" t="s">
        <v>384</v>
      </c>
      <c r="G44" s="1" t="s">
        <v>385</v>
      </c>
      <c r="H44" s="1" t="s">
        <v>386</v>
      </c>
      <c r="I44" s="1" t="s">
        <v>387</v>
      </c>
      <c r="J44" s="2">
        <f t="shared" si="1"/>
        <v>1.0674630973099999</v>
      </c>
      <c r="K44" s="2">
        <f t="shared" si="2"/>
        <v>1.8629877617000001</v>
      </c>
      <c r="L44" s="2">
        <f t="shared" si="3"/>
        <v>0.53675220612999996</v>
      </c>
      <c r="M44" s="2">
        <f t="shared" si="4"/>
        <v>1.44354567582</v>
      </c>
      <c r="N44" s="3">
        <f t="shared" si="5"/>
        <v>6.4380175842299998</v>
      </c>
      <c r="O44" s="3">
        <f t="shared" si="6"/>
        <v>14.785288511999999</v>
      </c>
      <c r="P44" s="3">
        <f t="shared" si="7"/>
        <v>1.4602970344000001</v>
      </c>
      <c r="Q44" s="3">
        <f t="shared" si="8"/>
        <v>12.405806380750001</v>
      </c>
    </row>
    <row r="45" spans="1:17" x14ac:dyDescent="0.3">
      <c r="A45" s="5" t="s">
        <v>388</v>
      </c>
      <c r="B45" s="1" t="s">
        <v>389</v>
      </c>
      <c r="C45" s="1" t="s">
        <v>390</v>
      </c>
      <c r="D45" s="1" t="s">
        <v>391</v>
      </c>
      <c r="E45" s="1" t="s">
        <v>392</v>
      </c>
      <c r="F45" s="1" t="s">
        <v>393</v>
      </c>
      <c r="G45" s="1" t="s">
        <v>394</v>
      </c>
      <c r="H45" s="1" t="s">
        <v>395</v>
      </c>
      <c r="I45" s="1" t="s">
        <v>396</v>
      </c>
      <c r="J45" s="2">
        <f t="shared" si="1"/>
        <v>1.01135559027</v>
      </c>
      <c r="K45" s="2">
        <f t="shared" si="2"/>
        <v>1.8504677884</v>
      </c>
      <c r="L45" s="2">
        <f t="shared" si="3"/>
        <v>0.54607199319999999</v>
      </c>
      <c r="M45" s="2">
        <f t="shared" si="4"/>
        <v>1.4192479565999998</v>
      </c>
      <c r="N45" s="3">
        <f t="shared" si="5"/>
        <v>6.3349758671800007</v>
      </c>
      <c r="O45" s="3">
        <f t="shared" si="6"/>
        <v>16.277495295000001</v>
      </c>
      <c r="P45" s="3">
        <f t="shared" si="7"/>
        <v>1.3665233834000001</v>
      </c>
      <c r="Q45" s="3">
        <f t="shared" si="8"/>
        <v>12.635319178750001</v>
      </c>
    </row>
    <row r="46" spans="1:17" x14ac:dyDescent="0.3">
      <c r="A46" s="5" t="s">
        <v>397</v>
      </c>
      <c r="B46" s="1" t="s">
        <v>398</v>
      </c>
      <c r="C46" s="1" t="s">
        <v>399</v>
      </c>
      <c r="D46" s="1" t="s">
        <v>400</v>
      </c>
      <c r="E46" s="1" t="s">
        <v>401</v>
      </c>
      <c r="F46" s="1" t="s">
        <v>402</v>
      </c>
      <c r="G46" s="1" t="s">
        <v>403</v>
      </c>
      <c r="H46" s="1" t="s">
        <v>404</v>
      </c>
      <c r="I46" s="1" t="s">
        <v>405</v>
      </c>
      <c r="J46" s="2">
        <f t="shared" si="1"/>
        <v>2.1468796899999998E-3</v>
      </c>
      <c r="K46" s="2">
        <f t="shared" si="2"/>
        <v>1.8980143550000002E-2</v>
      </c>
      <c r="L46" s="2">
        <f t="shared" si="3"/>
        <v>5.6985446999999992E-4</v>
      </c>
      <c r="M46" s="2">
        <f t="shared" si="4"/>
        <v>4.4353563099999993E-3</v>
      </c>
      <c r="N46" s="3">
        <f t="shared" si="5"/>
        <v>1.190374493E-2</v>
      </c>
      <c r="O46" s="3">
        <f t="shared" si="6"/>
        <v>4.4859735849999999E-2</v>
      </c>
      <c r="P46" s="3">
        <f t="shared" si="7"/>
        <v>6.8562221999999998E-4</v>
      </c>
      <c r="Q46" s="3">
        <f t="shared" si="8"/>
        <v>2.7527539230000002E-2</v>
      </c>
    </row>
    <row r="47" spans="1:17" x14ac:dyDescent="0.3">
      <c r="A47" s="5" t="s">
        <v>406</v>
      </c>
      <c r="B47" s="1" t="s">
        <v>407</v>
      </c>
      <c r="C47" s="1" t="s">
        <v>408</v>
      </c>
      <c r="D47" s="1" t="s">
        <v>409</v>
      </c>
      <c r="E47" s="1" t="s">
        <v>410</v>
      </c>
      <c r="F47" s="1" t="s">
        <v>411</v>
      </c>
      <c r="G47" s="1" t="s">
        <v>412</v>
      </c>
      <c r="H47" s="1" t="s">
        <v>413</v>
      </c>
      <c r="I47" s="1" t="s">
        <v>414</v>
      </c>
      <c r="J47" s="2">
        <f t="shared" si="1"/>
        <v>1.7186246399999998E-3</v>
      </c>
      <c r="K47" s="2">
        <f t="shared" si="2"/>
        <v>1.1505311420000001E-2</v>
      </c>
      <c r="L47" s="2">
        <f t="shared" si="3"/>
        <v>6.1193618000000003E-4</v>
      </c>
      <c r="M47" s="2">
        <f t="shared" si="4"/>
        <v>4.0890026800000003E-3</v>
      </c>
      <c r="N47" s="3">
        <f t="shared" si="5"/>
        <v>1.133604582E-2</v>
      </c>
      <c r="O47" s="3">
        <f t="shared" si="6"/>
        <v>4.5410495350000003E-2</v>
      </c>
      <c r="P47" s="3">
        <f t="shared" si="7"/>
        <v>7.3165745999999993E-4</v>
      </c>
      <c r="Q47" s="3">
        <f t="shared" si="8"/>
        <v>2.8583821530000001E-2</v>
      </c>
    </row>
    <row r="48" spans="1:17" x14ac:dyDescent="0.3">
      <c r="A48" s="5" t="s">
        <v>415</v>
      </c>
      <c r="B48" s="1" t="s">
        <v>416</v>
      </c>
      <c r="C48" s="1" t="s">
        <v>417</v>
      </c>
      <c r="D48" s="1" t="s">
        <v>418</v>
      </c>
      <c r="E48" s="1" t="s">
        <v>419</v>
      </c>
      <c r="F48" s="1" t="s">
        <v>420</v>
      </c>
      <c r="G48" s="1" t="s">
        <v>421</v>
      </c>
      <c r="H48" s="1" t="s">
        <v>422</v>
      </c>
      <c r="I48" s="1" t="s">
        <v>423</v>
      </c>
      <c r="J48" s="2">
        <f t="shared" si="1"/>
        <v>0.19031373174999999</v>
      </c>
      <c r="K48" s="2">
        <f t="shared" si="2"/>
        <v>0.50548234438999995</v>
      </c>
      <c r="L48" s="2">
        <f t="shared" si="3"/>
        <v>5.0937714270000004E-2</v>
      </c>
      <c r="M48" s="2">
        <f t="shared" si="4"/>
        <v>0.38304541333999997</v>
      </c>
      <c r="N48" s="3">
        <f t="shared" si="5"/>
        <v>2.5732379030700003</v>
      </c>
      <c r="O48" s="3">
        <f t="shared" si="6"/>
        <v>6.2878283041999996</v>
      </c>
      <c r="P48" s="3">
        <f t="shared" si="7"/>
        <v>0.53521728189999995</v>
      </c>
      <c r="Q48" s="3">
        <f t="shared" si="8"/>
        <v>5.0896745480900005</v>
      </c>
    </row>
    <row r="49" spans="1:17" x14ac:dyDescent="0.3">
      <c r="A49" s="5" t="s">
        <v>424</v>
      </c>
      <c r="B49" s="1" t="s">
        <v>425</v>
      </c>
      <c r="C49" s="1" t="s">
        <v>426</v>
      </c>
      <c r="D49" s="1" t="s">
        <v>427</v>
      </c>
      <c r="E49" s="1" t="s">
        <v>428</v>
      </c>
      <c r="F49" s="1" t="s">
        <v>429</v>
      </c>
      <c r="G49" s="1" t="s">
        <v>430</v>
      </c>
      <c r="H49" s="1" t="s">
        <v>431</v>
      </c>
      <c r="I49" s="1" t="s">
        <v>432</v>
      </c>
      <c r="J49" s="2">
        <f t="shared" si="1"/>
        <v>0.18179800928000001</v>
      </c>
      <c r="K49" s="2">
        <f t="shared" si="2"/>
        <v>0.66448763914999998</v>
      </c>
      <c r="L49" s="2">
        <f t="shared" si="3"/>
        <v>4.4073252180000001E-2</v>
      </c>
      <c r="M49" s="2">
        <f t="shared" si="4"/>
        <v>0.35767829162999998</v>
      </c>
      <c r="N49" s="3">
        <f t="shared" si="5"/>
        <v>2.4767176329000002</v>
      </c>
      <c r="O49" s="3">
        <f t="shared" si="6"/>
        <v>6.6817348061000006</v>
      </c>
      <c r="P49" s="3">
        <f t="shared" si="7"/>
        <v>0.49976892601</v>
      </c>
      <c r="Q49" s="3">
        <f t="shared" si="8"/>
        <v>5.0591411423500006</v>
      </c>
    </row>
    <row r="50" spans="1:17" x14ac:dyDescent="0.3">
      <c r="A50" s="5" t="s">
        <v>433</v>
      </c>
      <c r="B50" s="1" t="s">
        <v>434</v>
      </c>
      <c r="C50" s="1" t="s">
        <v>435</v>
      </c>
      <c r="D50" s="1" t="s">
        <v>436</v>
      </c>
      <c r="E50" s="1" t="s">
        <v>437</v>
      </c>
      <c r="F50" s="1" t="s">
        <v>438</v>
      </c>
      <c r="G50" s="1" t="s">
        <v>439</v>
      </c>
      <c r="H50" s="1" t="s">
        <v>440</v>
      </c>
      <c r="I50" s="1" t="s">
        <v>441</v>
      </c>
      <c r="J50" s="2">
        <f t="shared" si="1"/>
        <v>0.57554770991999993</v>
      </c>
      <c r="K50" s="2">
        <f t="shared" si="2"/>
        <v>0.94053908324000002</v>
      </c>
      <c r="L50" s="2">
        <f t="shared" si="3"/>
        <v>0.31868404377999998</v>
      </c>
      <c r="M50" s="2">
        <f t="shared" si="4"/>
        <v>0.80216683041999992</v>
      </c>
      <c r="N50" s="3">
        <f t="shared" si="5"/>
        <v>2.05645264733</v>
      </c>
      <c r="O50" s="3">
        <f t="shared" si="6"/>
        <v>4.9325656701999998</v>
      </c>
      <c r="P50" s="3">
        <f t="shared" si="7"/>
        <v>0.40965710939</v>
      </c>
      <c r="Q50" s="3">
        <f t="shared" si="8"/>
        <v>3.9380425736700002</v>
      </c>
    </row>
    <row r="51" spans="1:17" x14ac:dyDescent="0.3">
      <c r="A51" s="5" t="s">
        <v>442</v>
      </c>
      <c r="B51" s="1" t="s">
        <v>443</v>
      </c>
      <c r="C51" s="1" t="s">
        <v>444</v>
      </c>
      <c r="D51" s="1" t="s">
        <v>445</v>
      </c>
      <c r="E51" s="1" t="s">
        <v>446</v>
      </c>
      <c r="F51" s="1" t="s">
        <v>447</v>
      </c>
      <c r="G51" s="1" t="s">
        <v>448</v>
      </c>
      <c r="H51" s="1" t="s">
        <v>449</v>
      </c>
      <c r="I51" s="1" t="s">
        <v>450</v>
      </c>
      <c r="J51" s="2">
        <f t="shared" si="1"/>
        <v>0.56105214562000005</v>
      </c>
      <c r="K51" s="2">
        <f t="shared" si="2"/>
        <v>1.0286292242000001</v>
      </c>
      <c r="L51" s="2">
        <f t="shared" si="3"/>
        <v>0.34131470626999999</v>
      </c>
      <c r="M51" s="2">
        <f t="shared" si="4"/>
        <v>0.83300139662000006</v>
      </c>
      <c r="N51" s="3">
        <f t="shared" si="5"/>
        <v>2.0905917120600002</v>
      </c>
      <c r="O51" s="3">
        <f t="shared" si="6"/>
        <v>5.1308100773999996</v>
      </c>
      <c r="P51" s="3">
        <f t="shared" si="7"/>
        <v>0.43815043179000002</v>
      </c>
      <c r="Q51" s="3">
        <f t="shared" si="8"/>
        <v>4.1739748515199997</v>
      </c>
    </row>
    <row r="52" spans="1:17" x14ac:dyDescent="0.3">
      <c r="A52" s="5" t="s">
        <v>451</v>
      </c>
      <c r="B52" s="1" t="s">
        <v>452</v>
      </c>
      <c r="C52" s="1" t="s">
        <v>453</v>
      </c>
      <c r="D52" s="1" t="s">
        <v>454</v>
      </c>
      <c r="E52" s="1" t="s">
        <v>455</v>
      </c>
      <c r="F52" s="1" t="s">
        <v>456</v>
      </c>
      <c r="G52" s="1" t="s">
        <v>457</v>
      </c>
      <c r="H52" s="1" t="s">
        <v>458</v>
      </c>
      <c r="I52" s="1" t="s">
        <v>459</v>
      </c>
      <c r="J52" s="2">
        <f t="shared" si="1"/>
        <v>0.29945471941000001</v>
      </c>
      <c r="K52" s="2">
        <f t="shared" si="2"/>
        <v>0.91356512198000006</v>
      </c>
      <c r="L52" s="2">
        <f t="shared" si="3"/>
        <v>0.11684974776000001</v>
      </c>
      <c r="M52" s="2">
        <f t="shared" si="4"/>
        <v>0.50548306312000002</v>
      </c>
      <c r="N52" s="3">
        <f t="shared" si="5"/>
        <v>1.7964215724800001</v>
      </c>
      <c r="O52" s="3">
        <f t="shared" si="6"/>
        <v>4.1015200808000003</v>
      </c>
      <c r="P52" s="3">
        <f t="shared" si="7"/>
        <v>0.37426012251000002</v>
      </c>
      <c r="Q52" s="3">
        <f t="shared" si="8"/>
        <v>3.37456450079</v>
      </c>
    </row>
    <row r="53" spans="1:17" x14ac:dyDescent="0.3">
      <c r="A53" s="5" t="s">
        <v>460</v>
      </c>
      <c r="B53" s="1" t="s">
        <v>461</v>
      </c>
      <c r="C53" s="1" t="s">
        <v>462</v>
      </c>
      <c r="D53" s="1" t="s">
        <v>463</v>
      </c>
      <c r="E53" s="1" t="s">
        <v>464</v>
      </c>
      <c r="F53" s="1" t="s">
        <v>465</v>
      </c>
      <c r="G53" s="1" t="s">
        <v>466</v>
      </c>
      <c r="H53" s="1" t="s">
        <v>467</v>
      </c>
      <c r="I53" s="1" t="s">
        <v>468</v>
      </c>
      <c r="J53" s="2">
        <f t="shared" si="1"/>
        <v>0.26678671933000003</v>
      </c>
      <c r="K53" s="2">
        <f t="shared" si="2"/>
        <v>0.65209415186999997</v>
      </c>
      <c r="L53" s="2">
        <f t="shared" si="3"/>
        <v>0.12408000781</v>
      </c>
      <c r="M53" s="2">
        <f t="shared" si="4"/>
        <v>0.47349616069</v>
      </c>
      <c r="N53" s="3">
        <f t="shared" si="5"/>
        <v>1.75632825367</v>
      </c>
      <c r="O53" s="3">
        <f t="shared" si="6"/>
        <v>4.4338720791000004</v>
      </c>
      <c r="P53" s="3">
        <f t="shared" si="7"/>
        <v>0.35725923933999998</v>
      </c>
      <c r="Q53" s="3">
        <f t="shared" si="8"/>
        <v>3.46659681535</v>
      </c>
    </row>
    <row r="54" spans="1:17" x14ac:dyDescent="0.3">
      <c r="A54" s="5" t="s">
        <v>469</v>
      </c>
      <c r="B54" s="1" t="s">
        <v>470</v>
      </c>
      <c r="C54" s="1" t="s">
        <v>471</v>
      </c>
      <c r="D54" s="1" t="s">
        <v>472</v>
      </c>
      <c r="E54" s="1" t="s">
        <v>473</v>
      </c>
      <c r="F54" s="1" t="s">
        <v>474</v>
      </c>
      <c r="G54" s="1" t="s">
        <v>475</v>
      </c>
      <c r="H54" s="1" t="s">
        <v>476</v>
      </c>
      <c r="I54" s="1" t="s">
        <v>477</v>
      </c>
      <c r="J54" s="3">
        <f t="shared" si="1"/>
        <v>3.2313435527299998</v>
      </c>
      <c r="K54" s="3">
        <f t="shared" si="2"/>
        <v>7.7580069882</v>
      </c>
      <c r="L54" s="3">
        <f t="shared" si="3"/>
        <v>3.7403099999999999E-6</v>
      </c>
      <c r="M54" s="3">
        <f t="shared" si="4"/>
        <v>6.5590998808500007</v>
      </c>
      <c r="N54" s="2">
        <f t="shared" si="5"/>
        <v>0.17498549913</v>
      </c>
      <c r="O54" s="2">
        <f t="shared" si="6"/>
        <v>0.44377720233999995</v>
      </c>
      <c r="P54" s="2">
        <f t="shared" si="7"/>
        <v>4.9403199999999997E-6</v>
      </c>
      <c r="Q54" s="2">
        <f t="shared" si="8"/>
        <v>0.37186128826999998</v>
      </c>
    </row>
    <row r="55" spans="1:17" x14ac:dyDescent="0.3">
      <c r="A55" s="5" t="s">
        <v>478</v>
      </c>
      <c r="B55" s="1" t="s">
        <v>479</v>
      </c>
      <c r="C55" s="1" t="s">
        <v>480</v>
      </c>
      <c r="D55" s="1" t="s">
        <v>481</v>
      </c>
      <c r="E55" s="1" t="s">
        <v>482</v>
      </c>
      <c r="F55" s="1" t="s">
        <v>483</v>
      </c>
      <c r="G55" s="1" t="s">
        <v>484</v>
      </c>
      <c r="H55" s="1" t="s">
        <v>485</v>
      </c>
      <c r="I55" s="1" t="s">
        <v>486</v>
      </c>
      <c r="J55" s="3">
        <f t="shared" si="1"/>
        <v>3.3337481807300002</v>
      </c>
      <c r="K55" s="3">
        <f t="shared" si="2"/>
        <v>8.1816913176000003</v>
      </c>
      <c r="L55" s="3">
        <f t="shared" si="3"/>
        <v>0.38418201030999999</v>
      </c>
      <c r="M55" s="3">
        <f t="shared" si="4"/>
        <v>6.7084935333299995</v>
      </c>
      <c r="N55" s="2">
        <f t="shared" si="5"/>
        <v>0.17921954011000002</v>
      </c>
      <c r="O55" s="2">
        <f t="shared" si="6"/>
        <v>0.46396251460000004</v>
      </c>
      <c r="P55" s="2">
        <f t="shared" si="7"/>
        <v>2.2963141859999998E-2</v>
      </c>
      <c r="Q55" s="2">
        <f t="shared" si="8"/>
        <v>0.38963666694999999</v>
      </c>
    </row>
    <row r="56" spans="1:17" x14ac:dyDescent="0.3">
      <c r="A56" s="5" t="s">
        <v>487</v>
      </c>
      <c r="B56" s="1" t="s">
        <v>488</v>
      </c>
      <c r="C56" s="1" t="s">
        <v>489</v>
      </c>
      <c r="D56" s="1" t="s">
        <v>490</v>
      </c>
      <c r="E56" s="1" t="s">
        <v>491</v>
      </c>
      <c r="F56" s="1" t="s">
        <v>492</v>
      </c>
      <c r="G56" s="1" t="s">
        <v>493</v>
      </c>
      <c r="H56" s="1" t="s">
        <v>494</v>
      </c>
      <c r="I56" s="1" t="s">
        <v>495</v>
      </c>
      <c r="J56" s="3">
        <f t="shared" si="1"/>
        <v>5.0118071530100003</v>
      </c>
      <c r="K56" s="3">
        <f t="shared" si="2"/>
        <v>14.257859316999999</v>
      </c>
      <c r="L56" s="3">
        <f t="shared" si="3"/>
        <v>1.1406855655999999</v>
      </c>
      <c r="M56" s="3">
        <f t="shared" si="4"/>
        <v>11.058475351850001</v>
      </c>
      <c r="N56" s="2">
        <f t="shared" si="5"/>
        <v>0.80455550113999996</v>
      </c>
      <c r="O56" s="2">
        <f t="shared" si="6"/>
        <v>1.5426061520000001</v>
      </c>
      <c r="P56" s="2">
        <f t="shared" si="7"/>
        <v>0.25825919167</v>
      </c>
      <c r="Q56" s="2">
        <f t="shared" si="8"/>
        <v>1.23743437135</v>
      </c>
    </row>
    <row r="57" spans="1:17" x14ac:dyDescent="0.3">
      <c r="A57" s="5" t="s">
        <v>496</v>
      </c>
      <c r="B57" s="1" t="s">
        <v>497</v>
      </c>
      <c r="C57" s="1" t="s">
        <v>498</v>
      </c>
      <c r="D57" s="1" t="s">
        <v>499</v>
      </c>
      <c r="E57" s="1" t="s">
        <v>500</v>
      </c>
      <c r="F57" s="1" t="s">
        <v>501</v>
      </c>
      <c r="G57" s="1" t="s">
        <v>502</v>
      </c>
      <c r="H57" s="1" t="s">
        <v>503</v>
      </c>
      <c r="I57" s="1" t="s">
        <v>504</v>
      </c>
      <c r="J57" s="3">
        <f t="shared" si="1"/>
        <v>4.9720264618000005</v>
      </c>
      <c r="K57" s="3">
        <f t="shared" si="2"/>
        <v>14.999483761</v>
      </c>
      <c r="L57" s="3">
        <f t="shared" si="3"/>
        <v>1.1045667477000001</v>
      </c>
      <c r="M57" s="3">
        <f t="shared" si="4"/>
        <v>11.398790975000001</v>
      </c>
      <c r="N57" s="2">
        <f t="shared" si="5"/>
        <v>0.65694496896999999</v>
      </c>
      <c r="O57" s="2">
        <f t="shared" si="6"/>
        <v>1.2458411467000001</v>
      </c>
      <c r="P57" s="2">
        <f t="shared" si="7"/>
        <v>0.24123420488</v>
      </c>
      <c r="Q57" s="2">
        <f t="shared" si="8"/>
        <v>1.0371745192299999</v>
      </c>
    </row>
    <row r="58" spans="1:17" x14ac:dyDescent="0.3">
      <c r="A58" s="5" t="s">
        <v>505</v>
      </c>
      <c r="B58" s="1" t="s">
        <v>506</v>
      </c>
      <c r="C58" s="1" t="s">
        <v>507</v>
      </c>
      <c r="D58" s="1" t="s">
        <v>508</v>
      </c>
      <c r="E58" s="1" t="s">
        <v>509</v>
      </c>
      <c r="F58" s="1" t="s">
        <v>510</v>
      </c>
      <c r="G58" s="1" t="s">
        <v>511</v>
      </c>
      <c r="H58" s="1" t="s">
        <v>512</v>
      </c>
      <c r="I58" s="1" t="s">
        <v>513</v>
      </c>
      <c r="J58" s="3">
        <f t="shared" si="1"/>
        <v>1.3368450360299999</v>
      </c>
      <c r="K58" s="3">
        <f t="shared" si="2"/>
        <v>2.7498388628000003</v>
      </c>
      <c r="L58" s="3">
        <f t="shared" si="3"/>
        <v>0.55439234850999997</v>
      </c>
      <c r="M58" s="3">
        <f t="shared" si="4"/>
        <v>2.3435361927800002</v>
      </c>
      <c r="N58" s="2">
        <f t="shared" si="5"/>
        <v>5.5385000000000004E-6</v>
      </c>
      <c r="O58" s="2">
        <f t="shared" si="6"/>
        <v>5.5672799999999995E-6</v>
      </c>
      <c r="P58" s="2">
        <f t="shared" si="7"/>
        <v>5.4716099999999993E-6</v>
      </c>
      <c r="Q58" s="2">
        <f t="shared" si="8"/>
        <v>5.5502299999999994E-6</v>
      </c>
    </row>
    <row r="59" spans="1:17" x14ac:dyDescent="0.3">
      <c r="A59" s="5" t="s">
        <v>514</v>
      </c>
      <c r="B59" s="1" t="s">
        <v>515</v>
      </c>
      <c r="C59" s="1" t="s">
        <v>516</v>
      </c>
      <c r="D59" s="1" t="s">
        <v>517</v>
      </c>
      <c r="E59" s="1" t="s">
        <v>518</v>
      </c>
      <c r="F59" s="1" t="s">
        <v>519</v>
      </c>
      <c r="G59" s="1" t="s">
        <v>520</v>
      </c>
      <c r="H59" s="1" t="s">
        <v>521</v>
      </c>
      <c r="I59" s="1" t="s">
        <v>522</v>
      </c>
      <c r="J59" s="3">
        <f t="shared" si="1"/>
        <v>1.3249465626400001</v>
      </c>
      <c r="K59" s="3">
        <f t="shared" si="2"/>
        <v>2.8333278758000002</v>
      </c>
      <c r="L59" s="3">
        <f t="shared" si="3"/>
        <v>0.52739098355000003</v>
      </c>
      <c r="M59" s="3">
        <f t="shared" si="4"/>
        <v>2.4446602086799998</v>
      </c>
      <c r="N59" s="2">
        <f t="shared" si="5"/>
        <v>5.5431299999999999E-6</v>
      </c>
      <c r="O59" s="2">
        <f t="shared" si="6"/>
        <v>5.5871799999999999E-6</v>
      </c>
      <c r="P59" s="2">
        <f t="shared" si="7"/>
        <v>5.4910699999999994E-6</v>
      </c>
      <c r="Q59" s="2">
        <f t="shared" si="8"/>
        <v>5.5766000000000001E-6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cacti_summary_results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jnric _</dc:creator>
  <cp:lastModifiedBy>jnric _</cp:lastModifiedBy>
  <dcterms:created xsi:type="dcterms:W3CDTF">2026-04-27T16:34:36Z</dcterms:created>
  <dcterms:modified xsi:type="dcterms:W3CDTF">2026-04-27T17:21:57Z</dcterms:modified>
</cp:coreProperties>
</file>