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nric\Documents\UOC\TFM\4-Validacio\documentacio\"/>
    </mc:Choice>
  </mc:AlternateContent>
  <xr:revisionPtr revIDLastSave="0" documentId="13_ncr:1_{D02DEBB1-4642-4323-A6D8-86B84CEB3295}" xr6:coauthVersionLast="47" xr6:coauthVersionMax="47" xr10:uidLastSave="{00000000-0000-0000-0000-000000000000}"/>
  <bookViews>
    <workbookView xWindow="-108" yWindow="-108" windowWidth="23256" windowHeight="12456" tabRatio="579" xr2:uid="{00000000-000D-0000-FFFF-FFFF00000000}"/>
  </bookViews>
  <sheets>
    <sheet name="Evolució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29" i="1" l="1"/>
  <c r="AV29" i="1"/>
  <c r="AP29" i="1"/>
  <c r="AJ29" i="1"/>
  <c r="AD29" i="1"/>
  <c r="X29" i="1"/>
  <c r="J23" i="1"/>
  <c r="J22" i="1"/>
  <c r="BC26" i="1"/>
  <c r="AV26" i="1"/>
  <c r="AP26" i="1"/>
  <c r="AJ26" i="1"/>
  <c r="AD26" i="1"/>
  <c r="X26" i="1"/>
  <c r="BC21" i="1"/>
  <c r="W21" i="1"/>
  <c r="W28" i="1"/>
  <c r="T21" i="1"/>
  <c r="T28" i="1"/>
  <c r="BB12" i="1"/>
  <c r="AU12" i="1"/>
  <c r="AQ45" i="1"/>
  <c r="AQ43" i="1"/>
  <c r="AK45" i="1"/>
  <c r="AK43" i="1"/>
  <c r="AE45" i="1"/>
  <c r="AE43" i="1"/>
  <c r="AD38" i="1"/>
  <c r="BC22" i="1"/>
  <c r="BE22" i="1" s="1"/>
  <c r="BB22" i="1"/>
  <c r="AV22" i="1"/>
  <c r="AU22" i="1"/>
  <c r="AP22" i="1"/>
  <c r="AO22" i="1"/>
  <c r="AJ22" i="1"/>
  <c r="AI22" i="1"/>
  <c r="AD22" i="1"/>
  <c r="AC22" i="1"/>
  <c r="X38" i="1"/>
  <c r="X22" i="1"/>
  <c r="W22" i="1"/>
  <c r="BD45" i="1"/>
  <c r="AE42" i="1"/>
  <c r="Y42" i="1"/>
  <c r="Y45" i="1"/>
  <c r="AQ42" i="1"/>
  <c r="J26" i="1"/>
  <c r="BB38" i="1"/>
  <c r="BB37" i="1"/>
  <c r="BB36" i="1"/>
  <c r="BB33" i="1"/>
  <c r="BB32" i="1"/>
  <c r="BC32" i="1" s="1"/>
  <c r="BB31" i="1"/>
  <c r="BB30" i="1"/>
  <c r="BB27" i="1"/>
  <c r="BB26" i="1"/>
  <c r="BB25" i="1"/>
  <c r="BB24" i="1"/>
  <c r="BB21" i="1"/>
  <c r="BE21" i="1" s="1"/>
  <c r="BB20" i="1"/>
  <c r="BB18" i="1"/>
  <c r="BB17" i="1"/>
  <c r="BB16" i="1"/>
  <c r="BB14" i="1"/>
  <c r="BC12" i="1"/>
  <c r="BE12" i="1" s="1"/>
  <c r="BB11" i="1"/>
  <c r="BB10" i="1"/>
  <c r="BB8" i="1"/>
  <c r="BB15" i="1"/>
  <c r="BC15" i="1" s="1"/>
  <c r="BE15" i="1" s="1"/>
  <c r="BD44" i="1"/>
  <c r="BD43" i="1"/>
  <c r="BD42" i="1"/>
  <c r="BB35" i="1"/>
  <c r="BC33" i="1"/>
  <c r="AK42" i="1"/>
  <c r="AI12" i="1"/>
  <c r="AJ12" i="1" s="1"/>
  <c r="AL12" i="1" s="1"/>
  <c r="AC6" i="1"/>
  <c r="AC12" i="1"/>
  <c r="AO12" i="1"/>
  <c r="AP12" i="1" s="1"/>
  <c r="AR12" i="1" s="1"/>
  <c r="AU8" i="1"/>
  <c r="AU14" i="1"/>
  <c r="AW45" i="1"/>
  <c r="AW42" i="1"/>
  <c r="AW43" i="1"/>
  <c r="AU18" i="1"/>
  <c r="AW44" i="1"/>
  <c r="AU28" i="1"/>
  <c r="AU23" i="1"/>
  <c r="AU21" i="1"/>
  <c r="AO21" i="1"/>
  <c r="AO23" i="1"/>
  <c r="AO28" i="1"/>
  <c r="AK44" i="1"/>
  <c r="AQ44" i="1"/>
  <c r="AI28" i="1"/>
  <c r="AI21" i="1"/>
  <c r="AI23" i="1"/>
  <c r="AE44" i="1"/>
  <c r="AC28" i="1"/>
  <c r="AC23" i="1"/>
  <c r="AC21" i="1"/>
  <c r="W23" i="1"/>
  <c r="Y43" i="1"/>
  <c r="T43" i="1"/>
  <c r="T42" i="1"/>
  <c r="O43" i="1"/>
  <c r="O42" i="1"/>
  <c r="Y44" i="1"/>
  <c r="T44" i="1"/>
  <c r="J11" i="1"/>
  <c r="J10" i="1"/>
  <c r="O45" i="1"/>
  <c r="O44" i="1"/>
  <c r="P13" i="1"/>
  <c r="AD21" i="1" l="1"/>
  <c r="BC17" i="1"/>
  <c r="BE17" i="1" s="1"/>
  <c r="BC36" i="1"/>
  <c r="BC11" i="1"/>
  <c r="X23" i="1"/>
  <c r="Z23" i="1" s="1"/>
  <c r="AV23" i="1"/>
  <c r="AX23" i="1" s="1"/>
  <c r="BC16" i="1"/>
  <c r="BE16" i="1" s="1"/>
  <c r="AJ23" i="1"/>
  <c r="AL23" i="1" s="1"/>
  <c r="BC18" i="1"/>
  <c r="BE18" i="1" s="1"/>
  <c r="BB29" i="1"/>
  <c r="BE29" i="1" s="1"/>
  <c r="BB9" i="1"/>
  <c r="AV18" i="1"/>
  <c r="AV14" i="1"/>
  <c r="AD28" i="1"/>
  <c r="AF28" i="1" s="1"/>
  <c r="AD23" i="1"/>
  <c r="AF23" i="1" s="1"/>
  <c r="AP23" i="1"/>
  <c r="AR23" i="1" s="1"/>
  <c r="AV8" i="1"/>
  <c r="AX8" i="1" s="1"/>
  <c r="AP21" i="1"/>
  <c r="AR21" i="1" s="1"/>
  <c r="BC24" i="1"/>
  <c r="BE24" i="1" s="1"/>
  <c r="AJ28" i="1"/>
  <c r="AL28" i="1" s="1"/>
  <c r="BB34" i="1"/>
  <c r="BC8" i="1"/>
  <c r="BE8" i="1" s="1"/>
  <c r="AV28" i="1"/>
  <c r="AX28" i="1" s="1"/>
  <c r="BC37" i="1"/>
  <c r="X21" i="1"/>
  <c r="BE26" i="1"/>
  <c r="X28" i="1"/>
  <c r="Z28" i="1" s="1"/>
  <c r="AP28" i="1"/>
  <c r="AR28" i="1" s="1"/>
  <c r="BC20" i="1"/>
  <c r="BE20" i="1" s="1"/>
  <c r="BC35" i="1"/>
  <c r="AD12" i="1"/>
  <c r="BC38" i="1"/>
  <c r="BE38" i="1" s="1"/>
  <c r="BC30" i="1"/>
  <c r="BD47" i="1"/>
  <c r="AJ21" i="1"/>
  <c r="AL21" i="1" s="1"/>
  <c r="AD6" i="1"/>
  <c r="BC25" i="1"/>
  <c r="BE25" i="1" s="1"/>
  <c r="BC10" i="1"/>
  <c r="BC27" i="1"/>
  <c r="BE27" i="1" s="1"/>
  <c r="BC31" i="1"/>
  <c r="BC14" i="1"/>
  <c r="BE14" i="1" s="1"/>
  <c r="AV21" i="1"/>
  <c r="AX21" i="1" s="1"/>
  <c r="O47" i="1"/>
  <c r="BC9" i="1" l="1"/>
  <c r="BE9" i="1" s="1"/>
  <c r="BC34" i="1"/>
  <c r="BE34" i="1" s="1"/>
  <c r="Z21" i="1"/>
  <c r="W26" i="1"/>
  <c r="AX18" i="1"/>
  <c r="AU38" i="1"/>
  <c r="AU37" i="1"/>
  <c r="AU36" i="1"/>
  <c r="AU33" i="1"/>
  <c r="AV33" i="1" s="1"/>
  <c r="AU32" i="1"/>
  <c r="AV32" i="1" s="1"/>
  <c r="AU31" i="1"/>
  <c r="AV31" i="1" s="1"/>
  <c r="AU30" i="1"/>
  <c r="AV30" i="1" s="1"/>
  <c r="AU27" i="1"/>
  <c r="AU26" i="1"/>
  <c r="AU25" i="1"/>
  <c r="AU24" i="1"/>
  <c r="AX22" i="1"/>
  <c r="AU20" i="1"/>
  <c r="AU17" i="1"/>
  <c r="AU16" i="1"/>
  <c r="AV12" i="1"/>
  <c r="AX12" i="1" s="1"/>
  <c r="AU11" i="1"/>
  <c r="AU10" i="1"/>
  <c r="AU35" i="1"/>
  <c r="AU15" i="1"/>
  <c r="AV15" i="1" s="1"/>
  <c r="AX15" i="1" s="1"/>
  <c r="AO38" i="1"/>
  <c r="AO37" i="1"/>
  <c r="AO36" i="1"/>
  <c r="AO33" i="1"/>
  <c r="AP33" i="1" s="1"/>
  <c r="AO32" i="1"/>
  <c r="AO31" i="1"/>
  <c r="AO30" i="1"/>
  <c r="AP30" i="1" s="1"/>
  <c r="AO27" i="1"/>
  <c r="AO26" i="1"/>
  <c r="AO25" i="1"/>
  <c r="AO24" i="1"/>
  <c r="AR22" i="1"/>
  <c r="AO20" i="1"/>
  <c r="AO18" i="1"/>
  <c r="AO17" i="1"/>
  <c r="AO16" i="1"/>
  <c r="AO14" i="1"/>
  <c r="AO11" i="1"/>
  <c r="AP11" i="1" s="1"/>
  <c r="AO10" i="1"/>
  <c r="AO35" i="1"/>
  <c r="AP35" i="1" s="1"/>
  <c r="AO15" i="1"/>
  <c r="AP15" i="1" s="1"/>
  <c r="AR15" i="1" s="1"/>
  <c r="AI38" i="1"/>
  <c r="AI37" i="1"/>
  <c r="AI36" i="1"/>
  <c r="AI33" i="1"/>
  <c r="AJ33" i="1" s="1"/>
  <c r="AI32" i="1"/>
  <c r="AJ32" i="1" s="1"/>
  <c r="AI31" i="1"/>
  <c r="AI30" i="1"/>
  <c r="AI27" i="1"/>
  <c r="AI26" i="1"/>
  <c r="AI25" i="1"/>
  <c r="AI24" i="1"/>
  <c r="AI20" i="1"/>
  <c r="AI18" i="1"/>
  <c r="AI17" i="1"/>
  <c r="AI16" i="1"/>
  <c r="AI15" i="1"/>
  <c r="AJ15" i="1" s="1"/>
  <c r="AL15" i="1" s="1"/>
  <c r="AI14" i="1"/>
  <c r="AI11" i="1"/>
  <c r="AI10" i="1"/>
  <c r="AI35" i="1"/>
  <c r="AC35" i="1"/>
  <c r="AD35" i="1" s="1"/>
  <c r="W35" i="1"/>
  <c r="X35" i="1" s="1"/>
  <c r="AC15" i="1"/>
  <c r="AD15" i="1" s="1"/>
  <c r="AJ18" i="1" l="1"/>
  <c r="AL18" i="1" s="1"/>
  <c r="AP20" i="1"/>
  <c r="AR20" i="1" s="1"/>
  <c r="AU9" i="1"/>
  <c r="AU34" i="1"/>
  <c r="AJ27" i="1"/>
  <c r="AL27" i="1" s="1"/>
  <c r="AI34" i="1"/>
  <c r="AP25" i="1"/>
  <c r="AR25" i="1" s="1"/>
  <c r="AP18" i="1"/>
  <c r="AR18" i="1" s="1"/>
  <c r="AJ25" i="1"/>
  <c r="AL25" i="1" s="1"/>
  <c r="AV37" i="1"/>
  <c r="AP24" i="1"/>
  <c r="AR24" i="1" s="1"/>
  <c r="AV36" i="1"/>
  <c r="AV11" i="1"/>
  <c r="AV38" i="1"/>
  <c r="AX38" i="1" s="1"/>
  <c r="AJ38" i="1"/>
  <c r="AL38" i="1" s="1"/>
  <c r="AJ24" i="1"/>
  <c r="AL24" i="1" s="1"/>
  <c r="AP16" i="1"/>
  <c r="AR16" i="1" s="1"/>
  <c r="AV16" i="1"/>
  <c r="AX16" i="1" s="1"/>
  <c r="AL26" i="1"/>
  <c r="AJ14" i="1"/>
  <c r="AL14" i="1" s="1"/>
  <c r="AO29" i="1"/>
  <c r="AR29" i="1" s="1"/>
  <c r="AV17" i="1"/>
  <c r="AX17" i="1" s="1"/>
  <c r="AI29" i="1"/>
  <c r="AL29" i="1" s="1"/>
  <c r="AJ17" i="1"/>
  <c r="AL17" i="1" s="1"/>
  <c r="AJ36" i="1"/>
  <c r="AJ37" i="1"/>
  <c r="AR26" i="1"/>
  <c r="AP10" i="1"/>
  <c r="AP9" i="1" s="1"/>
  <c r="AR9" i="1" s="1"/>
  <c r="AP27" i="1"/>
  <c r="AR27" i="1" s="1"/>
  <c r="AP31" i="1"/>
  <c r="AO9" i="1"/>
  <c r="AJ16" i="1"/>
  <c r="AL16" i="1" s="1"/>
  <c r="AV27" i="1"/>
  <c r="AX27" i="1" s="1"/>
  <c r="AX14" i="1"/>
  <c r="AP38" i="1"/>
  <c r="AR38" i="1" s="1"/>
  <c r="AJ11" i="1"/>
  <c r="AV24" i="1"/>
  <c r="AX24" i="1" s="1"/>
  <c r="AP14" i="1"/>
  <c r="AR14" i="1" s="1"/>
  <c r="AV25" i="1"/>
  <c r="AX25" i="1" s="1"/>
  <c r="AX26" i="1"/>
  <c r="AJ10" i="1"/>
  <c r="AI9" i="1"/>
  <c r="AJ20" i="1"/>
  <c r="AL20" i="1" s="1"/>
  <c r="AP37" i="1"/>
  <c r="AP17" i="1"/>
  <c r="AR17" i="1" s="1"/>
  <c r="AL22" i="1"/>
  <c r="AV10" i="1"/>
  <c r="AV20" i="1"/>
  <c r="AX20" i="1" s="1"/>
  <c r="AJ30" i="1"/>
  <c r="AV35" i="1"/>
  <c r="AU29" i="1"/>
  <c r="AX29" i="1" s="1"/>
  <c r="AP36" i="1"/>
  <c r="AP34" i="1" s="1"/>
  <c r="AR34" i="1" s="1"/>
  <c r="AP32" i="1"/>
  <c r="AO34" i="1"/>
  <c r="AJ31" i="1"/>
  <c r="AJ35" i="1"/>
  <c r="W15" i="1"/>
  <c r="X15" i="1" s="1"/>
  <c r="AC38" i="1"/>
  <c r="AC37" i="1"/>
  <c r="AC36" i="1"/>
  <c r="AC33" i="1"/>
  <c r="AD33" i="1" s="1"/>
  <c r="AC32" i="1"/>
  <c r="AD32" i="1" s="1"/>
  <c r="AC31" i="1"/>
  <c r="AD31" i="1" s="1"/>
  <c r="AC30" i="1"/>
  <c r="AD30" i="1" s="1"/>
  <c r="AC27" i="1"/>
  <c r="AC26" i="1"/>
  <c r="AC25" i="1"/>
  <c r="AC24" i="1"/>
  <c r="AF21" i="1"/>
  <c r="AC20" i="1"/>
  <c r="AC18" i="1"/>
  <c r="AC17" i="1"/>
  <c r="AC16" i="1"/>
  <c r="AC14" i="1"/>
  <c r="AC11" i="1"/>
  <c r="AC10" i="1"/>
  <c r="W38" i="1"/>
  <c r="W37" i="1"/>
  <c r="W36" i="1"/>
  <c r="W33" i="1"/>
  <c r="X33" i="1" s="1"/>
  <c r="W32" i="1"/>
  <c r="X32" i="1" s="1"/>
  <c r="W31" i="1"/>
  <c r="X31" i="1" s="1"/>
  <c r="W30" i="1"/>
  <c r="X30" i="1" s="1"/>
  <c r="W27" i="1"/>
  <c r="W25" i="1"/>
  <c r="W24" i="1"/>
  <c r="W20" i="1"/>
  <c r="W18" i="1"/>
  <c r="W17" i="1"/>
  <c r="W16" i="1"/>
  <c r="W14" i="1"/>
  <c r="W12" i="1"/>
  <c r="W11" i="1"/>
  <c r="X11" i="1" s="1"/>
  <c r="W10" i="1"/>
  <c r="W6" i="1"/>
  <c r="AW47" i="1"/>
  <c r="AQ47" i="1"/>
  <c r="AK47" i="1"/>
  <c r="AV9" i="1" l="1"/>
  <c r="AX9" i="1" s="1"/>
  <c r="AD17" i="1"/>
  <c r="AF17" i="1" s="1"/>
  <c r="X6" i="1"/>
  <c r="Z6" i="1" s="1"/>
  <c r="X20" i="1"/>
  <c r="Z20" i="1" s="1"/>
  <c r="AD11" i="1"/>
  <c r="AJ34" i="1"/>
  <c r="AL34" i="1" s="1"/>
  <c r="X16" i="1"/>
  <c r="Z16" i="1" s="1"/>
  <c r="AD24" i="1"/>
  <c r="AF24" i="1" s="1"/>
  <c r="AC34" i="1"/>
  <c r="AF38" i="1"/>
  <c r="AV34" i="1"/>
  <c r="AX34" i="1" s="1"/>
  <c r="X17" i="1"/>
  <c r="Z17" i="1" s="1"/>
  <c r="AD14" i="1"/>
  <c r="AF14" i="1" s="1"/>
  <c r="AD25" i="1"/>
  <c r="AF25" i="1" s="1"/>
  <c r="AD36" i="1"/>
  <c r="X18" i="1"/>
  <c r="Z18" i="1" s="1"/>
  <c r="AD16" i="1"/>
  <c r="AF16" i="1" s="1"/>
  <c r="AD27" i="1"/>
  <c r="AF27" i="1" s="1"/>
  <c r="W9" i="1"/>
  <c r="X10" i="1"/>
  <c r="X9" i="1" s="1"/>
  <c r="AJ9" i="1"/>
  <c r="AL9" i="1" s="1"/>
  <c r="AD37" i="1"/>
  <c r="AD18" i="1"/>
  <c r="AF18" i="1" s="1"/>
  <c r="AD20" i="1"/>
  <c r="AF20" i="1" s="1"/>
  <c r="AF26" i="1"/>
  <c r="X36" i="1"/>
  <c r="X24" i="1"/>
  <c r="Z24" i="1" s="1"/>
  <c r="Z38" i="1"/>
  <c r="X37" i="1"/>
  <c r="X12" i="1"/>
  <c r="Z12" i="1" s="1"/>
  <c r="X25" i="1"/>
  <c r="Z25" i="1" s="1"/>
  <c r="X14" i="1"/>
  <c r="Z14" i="1" s="1"/>
  <c r="X27" i="1"/>
  <c r="Z27" i="1" s="1"/>
  <c r="AD10" i="1"/>
  <c r="AF22" i="1"/>
  <c r="Z26" i="1"/>
  <c r="AE47" i="1"/>
  <c r="Y47" i="1"/>
  <c r="AC9" i="1"/>
  <c r="W29" i="1"/>
  <c r="AF12" i="1"/>
  <c r="W34" i="1"/>
  <c r="AC29" i="1"/>
  <c r="AF15" i="1"/>
  <c r="AF6" i="1"/>
  <c r="T45" i="1"/>
  <c r="Z22" i="1"/>
  <c r="Z15" i="1"/>
  <c r="J35" i="1"/>
  <c r="J38" i="1"/>
  <c r="J37" i="1"/>
  <c r="J36" i="1"/>
  <c r="J29" i="1"/>
  <c r="P29" i="1" s="1"/>
  <c r="J28" i="1"/>
  <c r="J27" i="1"/>
  <c r="J25" i="1"/>
  <c r="J24" i="1"/>
  <c r="J20" i="1"/>
  <c r="J17" i="1"/>
  <c r="J16" i="1"/>
  <c r="J18" i="1"/>
  <c r="J14" i="1"/>
  <c r="K10" i="1"/>
  <c r="J12" i="1"/>
  <c r="J6" i="1"/>
  <c r="J33" i="1"/>
  <c r="J32" i="1"/>
  <c r="J31" i="1"/>
  <c r="J30" i="1"/>
  <c r="J21" i="1"/>
  <c r="P21" i="1" s="1"/>
  <c r="J15" i="1"/>
  <c r="G43" i="1"/>
  <c r="G42" i="1"/>
  <c r="AD9" i="1" l="1"/>
  <c r="AF9" i="1" s="1"/>
  <c r="AD34" i="1"/>
  <c r="T17" i="1"/>
  <c r="P17" i="1"/>
  <c r="K20" i="1"/>
  <c r="P20" i="1"/>
  <c r="K23" i="1"/>
  <c r="P23" i="1"/>
  <c r="T6" i="1"/>
  <c r="P6" i="1"/>
  <c r="K15" i="1"/>
  <c r="P15" i="1"/>
  <c r="T38" i="1"/>
  <c r="P38" i="1"/>
  <c r="AF29" i="1"/>
  <c r="X34" i="1"/>
  <c r="Z34" i="1" s="1"/>
  <c r="K12" i="1"/>
  <c r="P12" i="1"/>
  <c r="K24" i="1"/>
  <c r="P24" i="1"/>
  <c r="T14" i="1"/>
  <c r="P14" i="1"/>
  <c r="K25" i="1"/>
  <c r="P25" i="1"/>
  <c r="T29" i="1"/>
  <c r="P28" i="1"/>
  <c r="T22" i="1"/>
  <c r="P22" i="1"/>
  <c r="Z29" i="1"/>
  <c r="K18" i="1"/>
  <c r="P18" i="1"/>
  <c r="K26" i="1"/>
  <c r="P26" i="1"/>
  <c r="K16" i="1"/>
  <c r="P16" i="1"/>
  <c r="T27" i="1"/>
  <c r="P27" i="1"/>
  <c r="T26" i="1"/>
  <c r="T23" i="1"/>
  <c r="AF34" i="1"/>
  <c r="T47" i="1"/>
  <c r="Z9" i="1"/>
  <c r="K17" i="1"/>
  <c r="K22" i="1"/>
  <c r="K29" i="1"/>
  <c r="K6" i="1"/>
  <c r="K27" i="1"/>
  <c r="K28" i="1"/>
  <c r="J34" i="1"/>
  <c r="J9" i="1"/>
  <c r="K38" i="1"/>
  <c r="T12" i="1"/>
  <c r="T15" i="1"/>
  <c r="K21" i="1"/>
  <c r="T24" i="1"/>
  <c r="K11" i="1"/>
  <c r="T16" i="1"/>
  <c r="T25" i="1"/>
  <c r="K14" i="1"/>
  <c r="T18" i="1"/>
  <c r="T20" i="1"/>
  <c r="K34" i="1" l="1"/>
  <c r="P34" i="1"/>
  <c r="T9" i="1"/>
  <c r="P9" i="1"/>
  <c r="T34" i="1"/>
  <c r="K9" i="1"/>
</calcChain>
</file>

<file path=xl/sharedStrings.xml><?xml version="1.0" encoding="utf-8"?>
<sst xmlns="http://schemas.openxmlformats.org/spreadsheetml/2006/main" count="825" uniqueCount="152">
  <si>
    <t>MMR</t>
  </si>
  <si>
    <t>Port òptic</t>
  </si>
  <si>
    <t>Assignació</t>
  </si>
  <si>
    <t>Interfície</t>
  </si>
  <si>
    <t>Capacitat</t>
  </si>
  <si>
    <t>Nova
Capacitat</t>
  </si>
  <si>
    <t>Anàlisi Estat actual</t>
  </si>
  <si>
    <t>Equipament R3</t>
  </si>
  <si>
    <t>Té</t>
  </si>
  <si>
    <t>Canvi R3 -&gt; R6</t>
  </si>
  <si>
    <t>%</t>
  </si>
  <si>
    <t>Capacitat
[Gbps]</t>
  </si>
  <si>
    <t>Total</t>
  </si>
  <si>
    <t>Locals</t>
  </si>
  <si>
    <t>R3.0/1/1</t>
  </si>
  <si>
    <t>R3.0/2/1</t>
  </si>
  <si>
    <t>R3.0/6/1</t>
  </si>
  <si>
    <t>R3.0/6/0</t>
  </si>
  <si>
    <t>R3.0/7/6</t>
  </si>
  <si>
    <t>R3.0/4/0</t>
  </si>
  <si>
    <t>R3.0/7/4</t>
  </si>
  <si>
    <t>R3.0/2/0</t>
  </si>
  <si>
    <t>R3.0/7/2</t>
  </si>
  <si>
    <t>R3.0/4/1</t>
  </si>
  <si>
    <t>SW1.9</t>
  </si>
  <si>
    <t>R3.0/4/2</t>
  </si>
  <si>
    <t>Cas d'estudi?</t>
  </si>
  <si>
    <t>R3.0/4/3</t>
  </si>
  <si>
    <t>R3.0/3/0</t>
  </si>
  <si>
    <t>R3.0/3/1</t>
  </si>
  <si>
    <t>R3.0/3/2</t>
  </si>
  <si>
    <t>R3.0/3/3</t>
  </si>
  <si>
    <t>R3.0/5/0</t>
  </si>
  <si>
    <t>R3.0/5/1</t>
  </si>
  <si>
    <t>R3.0/5/2</t>
  </si>
  <si>
    <t>R3.0/5/3</t>
  </si>
  <si>
    <t>R3.0/6/2</t>
  </si>
  <si>
    <t>R3.0/6/3</t>
  </si>
  <si>
    <t>Orange-Jazztel</t>
  </si>
  <si>
    <t>Hurricane</t>
  </si>
  <si>
    <t>Google</t>
  </si>
  <si>
    <t>OP03-SST Avatel</t>
  </si>
  <si>
    <t>LLIURE</t>
  </si>
  <si>
    <t>NO</t>
  </si>
  <si>
    <t>Gestió + VoIP Aire Networks</t>
  </si>
  <si>
    <t>OP04-RJT Orange</t>
  </si>
  <si>
    <t>OP03-SST Orange</t>
  </si>
  <si>
    <t>Netflix</t>
  </si>
  <si>
    <t>OP05-ALS Avatel</t>
  </si>
  <si>
    <t>Meta</t>
  </si>
  <si>
    <t>Espanix</t>
  </si>
  <si>
    <t>OP04-RJT Masmovil</t>
  </si>
  <si>
    <t>Lyntia</t>
  </si>
  <si>
    <t>Grup</t>
  </si>
  <si>
    <t>-</t>
  </si>
  <si>
    <t>Trunk 7</t>
  </si>
  <si>
    <t>Trunk 0</t>
  </si>
  <si>
    <t>Trunk 9</t>
  </si>
  <si>
    <t>R3.0/1/0</t>
  </si>
  <si>
    <t>Trunk 1</t>
  </si>
  <si>
    <t>Correos Telecom</t>
  </si>
  <si>
    <t>OP06-EAM Movistar</t>
  </si>
  <si>
    <t>OP04-RJT Cablemovil</t>
  </si>
  <si>
    <t>Aire Networks</t>
  </si>
  <si>
    <t>Trunk 2</t>
  </si>
  <si>
    <t>Trunk 3</t>
  </si>
  <si>
    <t>Trunk 5</t>
  </si>
  <si>
    <t>Trunk 6</t>
  </si>
  <si>
    <t>VLAN 10</t>
  </si>
  <si>
    <t>VLAN 1902</t>
  </si>
  <si>
    <t>IPTV</t>
  </si>
  <si>
    <t>VLAN 42</t>
  </si>
  <si>
    <t>OP05-ALS</t>
  </si>
  <si>
    <t>Relació</t>
  </si>
  <si>
    <t>B</t>
  </si>
  <si>
    <t>C</t>
  </si>
  <si>
    <t>D</t>
  </si>
  <si>
    <t>F</t>
  </si>
  <si>
    <t>G</t>
  </si>
  <si>
    <t>H</t>
  </si>
  <si>
    <t>I</t>
  </si>
  <si>
    <t>A, B</t>
  </si>
  <si>
    <t>E, B</t>
  </si>
  <si>
    <t>J</t>
  </si>
  <si>
    <t>VLAN 401</t>
  </si>
  <si>
    <t>VLAN 402</t>
  </si>
  <si>
    <t>VLAN 403</t>
  </si>
  <si>
    <t>VLAN 404</t>
  </si>
  <si>
    <t>OP09-JFG</t>
  </si>
  <si>
    <t>OP06-EAM</t>
  </si>
  <si>
    <t>OP08-MDN</t>
  </si>
  <si>
    <t>OP07-CST</t>
  </si>
  <si>
    <t>Tràfic p95</t>
  </si>
  <si>
    <t>PARCIAL</t>
  </si>
  <si>
    <t>VLAN 510</t>
  </si>
  <si>
    <t>VLAN 512</t>
  </si>
  <si>
    <t>SÍ</t>
  </si>
  <si>
    <t>Projecció Tràfic 
[20% + relació]</t>
  </si>
  <si>
    <t>Equipament R6</t>
  </si>
  <si>
    <t>10, 1</t>
  </si>
  <si>
    <t>25, 10, 1</t>
  </si>
  <si>
    <t>25, 10</t>
  </si>
  <si>
    <t>100, 40</t>
  </si>
  <si>
    <t>No assignades?</t>
  </si>
  <si>
    <t>R6.36</t>
  </si>
  <si>
    <t>R6.37</t>
  </si>
  <si>
    <t>R6.48</t>
  </si>
  <si>
    <t>Nova Espanix</t>
  </si>
  <si>
    <t>R6.49</t>
  </si>
  <si>
    <t>R6.8</t>
  </si>
  <si>
    <t>R6.12</t>
  </si>
  <si>
    <t>R6.15</t>
  </si>
  <si>
    <t>R6.9</t>
  </si>
  <si>
    <t>R6.10</t>
  </si>
  <si>
    <t>R6.11</t>
  </si>
  <si>
    <t>R6.14</t>
  </si>
  <si>
    <t>R6.16</t>
  </si>
  <si>
    <t>R6.17</t>
  </si>
  <si>
    <t>R6.18</t>
  </si>
  <si>
    <t>R6.19</t>
  </si>
  <si>
    <t>R6.20</t>
  </si>
  <si>
    <t>Creixement
Anual p95</t>
  </si>
  <si>
    <t>R6.50</t>
  </si>
  <si>
    <t>R6.51</t>
  </si>
  <si>
    <t>Nova Meta</t>
  </si>
  <si>
    <t>R6.28</t>
  </si>
  <si>
    <t>R6.29</t>
  </si>
  <si>
    <t>R6.21</t>
  </si>
  <si>
    <t>R6.22</t>
  </si>
  <si>
    <t>R6.33</t>
  </si>
  <si>
    <t>R6.34</t>
  </si>
  <si>
    <t>R6.30</t>
  </si>
  <si>
    <t>R6.35</t>
  </si>
  <si>
    <t>R6.31</t>
  </si>
  <si>
    <t>R6.32</t>
  </si>
  <si>
    <t>R6.52</t>
  </si>
  <si>
    <t>Nou Netflix</t>
  </si>
  <si>
    <t>10/1</t>
  </si>
  <si>
    <t>Fase0: Millora colls d'ampolla</t>
  </si>
  <si>
    <t>Fase 1: 1er Any</t>
  </si>
  <si>
    <t>Fase 2: 2on Any</t>
  </si>
  <si>
    <t>Fase 3: 3er Any</t>
  </si>
  <si>
    <t>Fase 4: 4rt Any</t>
  </si>
  <si>
    <t>Fase 5: 5è Any</t>
  </si>
  <si>
    <t>Fase 6: 8è Any</t>
  </si>
  <si>
    <t>OP01-ADZ</t>
  </si>
  <si>
    <t>OP01-ADZ Avatel</t>
  </si>
  <si>
    <t>OP02-INF</t>
  </si>
  <si>
    <t>R6.53</t>
  </si>
  <si>
    <t>R6.54</t>
  </si>
  <si>
    <t>Evolució del node d'agregació</t>
  </si>
  <si>
    <t xml:space="preserve">Horitzó de vigència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</si>
</sst>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6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9" fontId="0" fillId="6" borderId="1" xfId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9" fontId="2" fillId="2" borderId="14" xfId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9" fontId="0" fillId="2" borderId="12" xfId="1" applyFont="1" applyFill="1" applyBorder="1" applyAlignment="1">
      <alignment horizontal="center" vertical="center"/>
    </xf>
    <xf numFmtId="9" fontId="0" fillId="4" borderId="12" xfId="1" applyFont="1" applyFill="1" applyBorder="1" applyAlignment="1">
      <alignment horizontal="center" vertical="center"/>
    </xf>
    <xf numFmtId="9" fontId="0" fillId="2" borderId="15" xfId="1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9" fontId="0" fillId="8" borderId="12" xfId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9" fontId="0" fillId="6" borderId="12" xfId="1" applyFont="1" applyFill="1" applyBorder="1" applyAlignment="1">
      <alignment horizontal="center" vertical="center"/>
    </xf>
    <xf numFmtId="9" fontId="3" fillId="3" borderId="1" xfId="1" applyFon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9" fontId="5" fillId="2" borderId="12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9" fontId="6" fillId="2" borderId="1" xfId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7" fillId="2" borderId="1" xfId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9" fontId="5" fillId="2" borderId="15" xfId="1" applyFont="1" applyFill="1" applyBorder="1" applyAlignment="1">
      <alignment horizontal="center" vertical="center"/>
    </xf>
    <xf numFmtId="9" fontId="7" fillId="2" borderId="12" xfId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9" fontId="0" fillId="8" borderId="5" xfId="1" applyFont="1" applyFill="1" applyBorder="1" applyAlignment="1">
      <alignment horizontal="center" vertical="center"/>
    </xf>
    <xf numFmtId="9" fontId="0" fillId="4" borderId="5" xfId="1" applyFont="1" applyFill="1" applyBorder="1" applyAlignment="1">
      <alignment horizontal="center" vertical="center"/>
    </xf>
    <xf numFmtId="9" fontId="0" fillId="6" borderId="5" xfId="1" applyFont="1" applyFill="1" applyBorder="1" applyAlignment="1">
      <alignment horizontal="center" vertical="center"/>
    </xf>
    <xf numFmtId="9" fontId="2" fillId="2" borderId="5" xfId="1" applyFont="1" applyFill="1" applyBorder="1" applyAlignment="1">
      <alignment horizontal="center" vertical="center"/>
    </xf>
    <xf numFmtId="9" fontId="2" fillId="2" borderId="33" xfId="1" applyFont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9" fontId="6" fillId="2" borderId="12" xfId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2" fontId="5" fillId="2" borderId="14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2" fontId="6" fillId="2" borderId="14" xfId="0" applyNumberFormat="1" applyFont="1" applyFill="1" applyBorder="1" applyAlignment="1">
      <alignment horizontal="center" vertical="center"/>
    </xf>
    <xf numFmtId="9" fontId="6" fillId="2" borderId="15" xfId="1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9" fontId="0" fillId="5" borderId="5" xfId="1" applyFont="1" applyFill="1" applyBorder="1" applyAlignment="1">
      <alignment horizontal="center" vertical="center"/>
    </xf>
    <xf numFmtId="9" fontId="0" fillId="5" borderId="12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9" fontId="6" fillId="5" borderId="12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E49"/>
  <sheetViews>
    <sheetView tabSelected="1" topLeftCell="A2" zoomScale="80" zoomScaleNormal="80" workbookViewId="0">
      <selection activeCell="B4" sqref="B4"/>
    </sheetView>
  </sheetViews>
  <sheetFormatPr baseColWidth="10" defaultColWidth="17.88671875" defaultRowHeight="14.4" x14ac:dyDescent="0.3"/>
  <cols>
    <col min="1" max="1" width="2.6640625" style="1" customWidth="1"/>
    <col min="2" max="2" width="11.33203125" style="1" bestFit="1" customWidth="1"/>
    <col min="3" max="3" width="6.6640625" style="1" bestFit="1" customWidth="1"/>
    <col min="4" max="4" width="25.33203125" style="1" bestFit="1" customWidth="1"/>
    <col min="5" max="5" width="10.21875" style="1" bestFit="1" customWidth="1"/>
    <col min="6" max="6" width="9" style="1" bestFit="1" customWidth="1"/>
    <col min="7" max="7" width="7.5546875" style="1" bestFit="1" customWidth="1"/>
    <col min="8" max="8" width="7.109375" style="1" bestFit="1" customWidth="1"/>
    <col min="9" max="9" width="9.44140625" style="1" bestFit="1" customWidth="1"/>
    <col min="10" max="10" width="13.88671875" style="1" bestFit="1" customWidth="1"/>
    <col min="11" max="11" width="5.77734375" style="1" bestFit="1" customWidth="1"/>
    <col min="12" max="12" width="12.33203125" style="1" bestFit="1" customWidth="1"/>
    <col min="13" max="13" width="19.6640625" style="1" bestFit="1" customWidth="1"/>
    <col min="14" max="14" width="8.88671875" style="1" bestFit="1" customWidth="1"/>
    <col min="15" max="15" width="9" style="1" bestFit="1" customWidth="1"/>
    <col min="16" max="16" width="5.77734375" style="1" bestFit="1" customWidth="1"/>
    <col min="17" max="17" width="19.6640625" style="1" bestFit="1" customWidth="1"/>
    <col min="18" max="18" width="8.88671875" style="1" bestFit="1" customWidth="1"/>
    <col min="19" max="19" width="9" style="1" bestFit="1" customWidth="1"/>
    <col min="20" max="20" width="5.33203125" style="1" bestFit="1" customWidth="1"/>
    <col min="21" max="21" width="19.6640625" style="1" bestFit="1" customWidth="1"/>
    <col min="22" max="22" width="9" style="1" bestFit="1" customWidth="1"/>
    <col min="23" max="23" width="9.44140625" style="1" bestFit="1" customWidth="1"/>
    <col min="24" max="24" width="15.5546875" style="1" bestFit="1" customWidth="1"/>
    <col min="25" max="25" width="9" style="1" bestFit="1" customWidth="1"/>
    <col min="26" max="26" width="4.6640625" style="1" bestFit="1" customWidth="1"/>
    <col min="27" max="27" width="19.6640625" style="1" bestFit="1" customWidth="1"/>
    <col min="28" max="28" width="9" style="1" bestFit="1" customWidth="1"/>
    <col min="29" max="29" width="9.44140625" style="1" bestFit="1" customWidth="1"/>
    <col min="30" max="30" width="13.88671875" style="1" bestFit="1" customWidth="1"/>
    <col min="31" max="31" width="9" style="1" bestFit="1" customWidth="1"/>
    <col min="32" max="32" width="6.33203125" style="1" bestFit="1" customWidth="1"/>
    <col min="33" max="33" width="19.6640625" style="1" bestFit="1" customWidth="1"/>
    <col min="34" max="34" width="9" style="1" bestFit="1" customWidth="1"/>
    <col min="35" max="35" width="9.44140625" style="1" bestFit="1" customWidth="1"/>
    <col min="36" max="36" width="13.88671875" style="1" bestFit="1" customWidth="1"/>
    <col min="37" max="37" width="9" style="1" bestFit="1" customWidth="1"/>
    <col min="38" max="38" width="4.6640625" style="1" bestFit="1" customWidth="1"/>
    <col min="39" max="39" width="19.6640625" style="1" bestFit="1" customWidth="1"/>
    <col min="40" max="40" width="9" style="1" bestFit="1" customWidth="1"/>
    <col min="41" max="41" width="9.44140625" style="1" bestFit="1" customWidth="1"/>
    <col min="42" max="42" width="13.88671875" style="1" bestFit="1" customWidth="1"/>
    <col min="43" max="43" width="9" style="1" bestFit="1" customWidth="1"/>
    <col min="44" max="44" width="5.77734375" style="1" bestFit="1" customWidth="1"/>
    <col min="45" max="45" width="19.6640625" style="1" bestFit="1" customWidth="1"/>
    <col min="46" max="46" width="9" style="1" bestFit="1" customWidth="1"/>
    <col min="47" max="47" width="9.44140625" style="1" bestFit="1" customWidth="1"/>
    <col min="48" max="48" width="13.88671875" style="1" bestFit="1" customWidth="1"/>
    <col min="49" max="49" width="9" style="1" bestFit="1" customWidth="1"/>
    <col min="50" max="50" width="4.6640625" style="1" bestFit="1" customWidth="1"/>
    <col min="51" max="51" width="3.77734375" style="1" customWidth="1"/>
    <col min="52" max="52" width="19.6640625" style="1" bestFit="1" customWidth="1"/>
    <col min="53" max="53" width="9" style="1" bestFit="1" customWidth="1"/>
    <col min="54" max="54" width="9.44140625" style="1" bestFit="1" customWidth="1"/>
    <col min="55" max="55" width="13.88671875" style="1" bestFit="1" customWidth="1"/>
    <col min="56" max="56" width="9" style="1" bestFit="1" customWidth="1"/>
    <col min="57" max="57" width="6.77734375" style="1" customWidth="1"/>
    <col min="58" max="16384" width="17.88671875" style="1"/>
  </cols>
  <sheetData>
    <row r="2" spans="2:57" ht="15" thickBot="1" x14ac:dyDescent="0.35"/>
    <row r="3" spans="2:57" ht="29.4" thickBot="1" x14ac:dyDescent="0.35">
      <c r="B3" s="4" t="s">
        <v>121</v>
      </c>
      <c r="D3" s="115" t="s">
        <v>6</v>
      </c>
      <c r="E3" s="116"/>
      <c r="F3" s="116"/>
      <c r="G3" s="116"/>
      <c r="H3" s="116"/>
      <c r="I3" s="116"/>
      <c r="J3" s="116"/>
      <c r="K3" s="116"/>
      <c r="L3" s="117"/>
      <c r="M3" s="106" t="s">
        <v>150</v>
      </c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07"/>
      <c r="AZ3" s="106" t="s">
        <v>151</v>
      </c>
      <c r="BA3" s="111"/>
      <c r="BB3" s="111"/>
      <c r="BC3" s="111"/>
      <c r="BD3" s="111"/>
      <c r="BE3" s="107"/>
    </row>
    <row r="4" spans="2:57" ht="15" thickBot="1" x14ac:dyDescent="0.35">
      <c r="B4" s="58">
        <v>0.1</v>
      </c>
      <c r="D4" s="112"/>
      <c r="E4" s="113"/>
      <c r="F4" s="113"/>
      <c r="G4" s="113"/>
      <c r="H4" s="113"/>
      <c r="I4" s="113"/>
      <c r="J4" s="113"/>
      <c r="K4" s="113"/>
      <c r="L4" s="114"/>
      <c r="M4" s="112" t="s">
        <v>9</v>
      </c>
      <c r="N4" s="113"/>
      <c r="O4" s="113"/>
      <c r="P4" s="114"/>
      <c r="Q4" s="112" t="s">
        <v>138</v>
      </c>
      <c r="R4" s="113"/>
      <c r="S4" s="113"/>
      <c r="T4" s="114"/>
      <c r="U4" s="100" t="s">
        <v>139</v>
      </c>
      <c r="V4" s="101"/>
      <c r="W4" s="101"/>
      <c r="X4" s="101"/>
      <c r="Y4" s="101"/>
      <c r="Z4" s="102"/>
      <c r="AA4" s="100" t="s">
        <v>140</v>
      </c>
      <c r="AB4" s="101"/>
      <c r="AC4" s="101"/>
      <c r="AD4" s="101"/>
      <c r="AE4" s="101"/>
      <c r="AF4" s="102"/>
      <c r="AG4" s="100" t="s">
        <v>141</v>
      </c>
      <c r="AH4" s="101"/>
      <c r="AI4" s="101"/>
      <c r="AJ4" s="101"/>
      <c r="AK4" s="101"/>
      <c r="AL4" s="102"/>
      <c r="AM4" s="100" t="s">
        <v>142</v>
      </c>
      <c r="AN4" s="101"/>
      <c r="AO4" s="101"/>
      <c r="AP4" s="101"/>
      <c r="AQ4" s="101"/>
      <c r="AR4" s="102"/>
      <c r="AS4" s="100" t="s">
        <v>143</v>
      </c>
      <c r="AT4" s="101"/>
      <c r="AU4" s="101"/>
      <c r="AV4" s="101"/>
      <c r="AW4" s="101"/>
      <c r="AX4" s="102"/>
      <c r="AZ4" s="108" t="s">
        <v>144</v>
      </c>
      <c r="BA4" s="109"/>
      <c r="BB4" s="109"/>
      <c r="BC4" s="109"/>
      <c r="BD4" s="109"/>
      <c r="BE4" s="110"/>
    </row>
    <row r="5" spans="2:57" ht="28.8" x14ac:dyDescent="0.3">
      <c r="B5" s="28" t="s">
        <v>1</v>
      </c>
      <c r="C5" s="29" t="s">
        <v>0</v>
      </c>
      <c r="D5" s="32" t="s">
        <v>2</v>
      </c>
      <c r="E5" s="33" t="s">
        <v>3</v>
      </c>
      <c r="F5" s="33" t="s">
        <v>4</v>
      </c>
      <c r="G5" s="33" t="s">
        <v>53</v>
      </c>
      <c r="H5" s="33" t="s">
        <v>73</v>
      </c>
      <c r="I5" s="34" t="s">
        <v>92</v>
      </c>
      <c r="J5" s="34" t="s">
        <v>97</v>
      </c>
      <c r="K5" s="34" t="s">
        <v>10</v>
      </c>
      <c r="L5" s="50" t="s">
        <v>26</v>
      </c>
      <c r="M5" s="28" t="s">
        <v>2</v>
      </c>
      <c r="N5" s="53" t="s">
        <v>3</v>
      </c>
      <c r="O5" s="54" t="s">
        <v>5</v>
      </c>
      <c r="P5" s="55" t="s">
        <v>10</v>
      </c>
      <c r="Q5" s="28" t="s">
        <v>2</v>
      </c>
      <c r="R5" s="53" t="s">
        <v>3</v>
      </c>
      <c r="S5" s="54" t="s">
        <v>5</v>
      </c>
      <c r="T5" s="55" t="s">
        <v>10</v>
      </c>
      <c r="U5" s="5" t="s">
        <v>2</v>
      </c>
      <c r="V5" s="33" t="s">
        <v>3</v>
      </c>
      <c r="W5" s="34" t="s">
        <v>92</v>
      </c>
      <c r="X5" s="34" t="s">
        <v>97</v>
      </c>
      <c r="Y5" s="34" t="s">
        <v>5</v>
      </c>
      <c r="Z5" s="35" t="s">
        <v>10</v>
      </c>
      <c r="AA5" s="32" t="s">
        <v>2</v>
      </c>
      <c r="AB5" s="33" t="s">
        <v>3</v>
      </c>
      <c r="AC5" s="34" t="s">
        <v>92</v>
      </c>
      <c r="AD5" s="34" t="s">
        <v>97</v>
      </c>
      <c r="AE5" s="34" t="s">
        <v>5</v>
      </c>
      <c r="AF5" s="35" t="s">
        <v>10</v>
      </c>
      <c r="AG5" s="32" t="s">
        <v>2</v>
      </c>
      <c r="AH5" s="33" t="s">
        <v>3</v>
      </c>
      <c r="AI5" s="34" t="s">
        <v>92</v>
      </c>
      <c r="AJ5" s="34" t="s">
        <v>97</v>
      </c>
      <c r="AK5" s="34" t="s">
        <v>5</v>
      </c>
      <c r="AL5" s="35" t="s">
        <v>10</v>
      </c>
      <c r="AM5" s="32" t="s">
        <v>2</v>
      </c>
      <c r="AN5" s="33" t="s">
        <v>3</v>
      </c>
      <c r="AO5" s="34" t="s">
        <v>92</v>
      </c>
      <c r="AP5" s="34" t="s">
        <v>97</v>
      </c>
      <c r="AQ5" s="34" t="s">
        <v>5</v>
      </c>
      <c r="AR5" s="35" t="s">
        <v>10</v>
      </c>
      <c r="AS5" s="28" t="s">
        <v>2</v>
      </c>
      <c r="AT5" s="53" t="s">
        <v>3</v>
      </c>
      <c r="AU5" s="54" t="s">
        <v>92</v>
      </c>
      <c r="AV5" s="54" t="s">
        <v>97</v>
      </c>
      <c r="AW5" s="54" t="s">
        <v>5</v>
      </c>
      <c r="AX5" s="55" t="s">
        <v>10</v>
      </c>
      <c r="AZ5" s="28" t="s">
        <v>2</v>
      </c>
      <c r="BA5" s="53" t="s">
        <v>3</v>
      </c>
      <c r="BB5" s="54" t="s">
        <v>92</v>
      </c>
      <c r="BC5" s="54" t="s">
        <v>97</v>
      </c>
      <c r="BD5" s="54" t="s">
        <v>5</v>
      </c>
      <c r="BE5" s="55" t="s">
        <v>10</v>
      </c>
    </row>
    <row r="6" spans="2:57" x14ac:dyDescent="0.3">
      <c r="B6" s="17">
        <v>1</v>
      </c>
      <c r="C6" s="18">
        <v>42661</v>
      </c>
      <c r="D6" s="17" t="s">
        <v>40</v>
      </c>
      <c r="E6" s="2" t="s">
        <v>58</v>
      </c>
      <c r="F6" s="2">
        <v>10</v>
      </c>
      <c r="G6" s="2" t="s">
        <v>57</v>
      </c>
      <c r="H6" s="2" t="s">
        <v>81</v>
      </c>
      <c r="I6" s="2">
        <v>2.44</v>
      </c>
      <c r="J6" s="11">
        <f>I6*(1.2)+I12</f>
        <v>6.3979999999999997</v>
      </c>
      <c r="K6" s="9">
        <f>J6/F6</f>
        <v>0.63979999999999992</v>
      </c>
      <c r="L6" s="14" t="s">
        <v>96</v>
      </c>
      <c r="M6" s="17" t="s">
        <v>40</v>
      </c>
      <c r="N6" s="2" t="s">
        <v>125</v>
      </c>
      <c r="O6" s="2">
        <v>10</v>
      </c>
      <c r="P6" s="74">
        <f>J6/O6</f>
        <v>0.63979999999999992</v>
      </c>
      <c r="Q6" s="17" t="s">
        <v>40</v>
      </c>
      <c r="R6" s="2" t="s">
        <v>125</v>
      </c>
      <c r="S6" s="2">
        <v>10</v>
      </c>
      <c r="T6" s="36">
        <f>J6/S6</f>
        <v>0.63979999999999992</v>
      </c>
      <c r="U6" s="17" t="s">
        <v>40</v>
      </c>
      <c r="V6" s="2" t="s">
        <v>125</v>
      </c>
      <c r="W6" s="11">
        <f>$I6*(1+$B$4)^1</f>
        <v>2.6840000000000002</v>
      </c>
      <c r="X6" s="11">
        <f>W6*(1.2)+W12</f>
        <v>7.0378000000000007</v>
      </c>
      <c r="Y6" s="2">
        <v>10</v>
      </c>
      <c r="Z6" s="36">
        <f>X6/Y6</f>
        <v>0.70378000000000007</v>
      </c>
      <c r="AA6" s="17" t="s">
        <v>40</v>
      </c>
      <c r="AB6" s="63" t="s">
        <v>125</v>
      </c>
      <c r="AC6" s="11">
        <f>$I6*(1+$B$4)^2</f>
        <v>2.9524000000000004</v>
      </c>
      <c r="AD6" s="11">
        <f>AC6*(1.2)+AC12</f>
        <v>7.7415800000000008</v>
      </c>
      <c r="AE6" s="2">
        <v>10</v>
      </c>
      <c r="AF6" s="36">
        <f>AD6/AE6</f>
        <v>0.77415800000000012</v>
      </c>
      <c r="AG6" s="45" t="s">
        <v>42</v>
      </c>
      <c r="AH6" s="82" t="s">
        <v>125</v>
      </c>
      <c r="AI6" s="59"/>
      <c r="AJ6" s="59"/>
      <c r="AK6" s="80">
        <v>25</v>
      </c>
      <c r="AL6" s="48"/>
      <c r="AM6" s="45" t="s">
        <v>42</v>
      </c>
      <c r="AN6" s="82" t="s">
        <v>125</v>
      </c>
      <c r="AO6" s="59"/>
      <c r="AP6" s="59"/>
      <c r="AQ6" s="80">
        <v>25</v>
      </c>
      <c r="AR6" s="48"/>
      <c r="AS6" s="45" t="s">
        <v>42</v>
      </c>
      <c r="AT6" s="82" t="s">
        <v>125</v>
      </c>
      <c r="AU6" s="59"/>
      <c r="AV6" s="59"/>
      <c r="AW6" s="80">
        <v>25</v>
      </c>
      <c r="AX6" s="48"/>
      <c r="AZ6" s="45" t="s">
        <v>42</v>
      </c>
      <c r="BA6" s="82" t="s">
        <v>125</v>
      </c>
      <c r="BB6" s="59"/>
      <c r="BC6" s="59"/>
      <c r="BD6" s="80">
        <v>25</v>
      </c>
      <c r="BE6" s="48"/>
    </row>
    <row r="7" spans="2:57" x14ac:dyDescent="0.3">
      <c r="B7" s="45">
        <v>2</v>
      </c>
      <c r="C7" s="46">
        <v>42662</v>
      </c>
      <c r="D7" s="45" t="s">
        <v>42</v>
      </c>
      <c r="E7" s="47" t="s">
        <v>14</v>
      </c>
      <c r="F7" s="47">
        <v>10</v>
      </c>
      <c r="G7" s="47"/>
      <c r="H7" s="47"/>
      <c r="I7" s="47"/>
      <c r="J7" s="47"/>
      <c r="K7" s="47"/>
      <c r="L7" s="51" t="s">
        <v>96</v>
      </c>
      <c r="M7" s="45" t="s">
        <v>42</v>
      </c>
      <c r="N7" s="80" t="s">
        <v>126</v>
      </c>
      <c r="O7" s="80">
        <v>25</v>
      </c>
      <c r="P7" s="75"/>
      <c r="Q7" s="45" t="s">
        <v>42</v>
      </c>
      <c r="R7" s="80" t="s">
        <v>126</v>
      </c>
      <c r="S7" s="80">
        <v>25</v>
      </c>
      <c r="T7" s="48"/>
      <c r="U7" s="45" t="s">
        <v>42</v>
      </c>
      <c r="V7" s="80" t="s">
        <v>126</v>
      </c>
      <c r="W7" s="59"/>
      <c r="X7" s="59"/>
      <c r="Y7" s="80">
        <v>25</v>
      </c>
      <c r="Z7" s="48"/>
      <c r="AA7" s="45" t="s">
        <v>42</v>
      </c>
      <c r="AB7" s="83" t="s">
        <v>126</v>
      </c>
      <c r="AC7" s="59"/>
      <c r="AD7" s="59"/>
      <c r="AE7" s="80">
        <v>25</v>
      </c>
      <c r="AF7" s="48"/>
      <c r="AG7" s="45" t="s">
        <v>42</v>
      </c>
      <c r="AH7" s="83" t="s">
        <v>126</v>
      </c>
      <c r="AI7" s="59"/>
      <c r="AJ7" s="59"/>
      <c r="AK7" s="80">
        <v>25</v>
      </c>
      <c r="AL7" s="48"/>
      <c r="AM7" s="45" t="s">
        <v>42</v>
      </c>
      <c r="AN7" s="83" t="s">
        <v>126</v>
      </c>
      <c r="AO7" s="59"/>
      <c r="AP7" s="59"/>
      <c r="AQ7" s="80">
        <v>25</v>
      </c>
      <c r="AR7" s="48"/>
      <c r="AS7" s="45" t="s">
        <v>42</v>
      </c>
      <c r="AT7" s="83" t="s">
        <v>126</v>
      </c>
      <c r="AU7" s="59"/>
      <c r="AV7" s="59"/>
      <c r="AW7" s="80">
        <v>25</v>
      </c>
      <c r="AX7" s="48"/>
      <c r="AZ7" s="45" t="s">
        <v>42</v>
      </c>
      <c r="BA7" s="83" t="s">
        <v>126</v>
      </c>
      <c r="BB7" s="59"/>
      <c r="BC7" s="59"/>
      <c r="BD7" s="80">
        <v>25</v>
      </c>
      <c r="BE7" s="48"/>
    </row>
    <row r="8" spans="2:57" x14ac:dyDescent="0.3">
      <c r="B8" s="45">
        <v>3</v>
      </c>
      <c r="C8" s="46">
        <v>42663</v>
      </c>
      <c r="D8" s="45" t="s">
        <v>42</v>
      </c>
      <c r="E8" s="47" t="s">
        <v>15</v>
      </c>
      <c r="F8" s="47">
        <v>10</v>
      </c>
      <c r="G8" s="47"/>
      <c r="H8" s="47"/>
      <c r="I8" s="47"/>
      <c r="J8" s="47"/>
      <c r="K8" s="47"/>
      <c r="L8" s="51" t="s">
        <v>96</v>
      </c>
      <c r="M8" s="45" t="s">
        <v>42</v>
      </c>
      <c r="N8" s="80" t="s">
        <v>131</v>
      </c>
      <c r="O8" s="80">
        <v>25</v>
      </c>
      <c r="P8" s="75"/>
      <c r="Q8" s="45" t="s">
        <v>42</v>
      </c>
      <c r="R8" s="80" t="s">
        <v>131</v>
      </c>
      <c r="S8" s="80">
        <v>25</v>
      </c>
      <c r="T8" s="48"/>
      <c r="U8" s="45" t="s">
        <v>42</v>
      </c>
      <c r="V8" s="80" t="s">
        <v>131</v>
      </c>
      <c r="W8" s="59"/>
      <c r="X8" s="59"/>
      <c r="Y8" s="80">
        <v>25</v>
      </c>
      <c r="Z8" s="48"/>
      <c r="AA8" s="45" t="s">
        <v>42</v>
      </c>
      <c r="AB8" s="83" t="s">
        <v>131</v>
      </c>
      <c r="AC8" s="59"/>
      <c r="AD8" s="59"/>
      <c r="AE8" s="80">
        <v>25</v>
      </c>
      <c r="AF8" s="48"/>
      <c r="AG8" s="45" t="s">
        <v>42</v>
      </c>
      <c r="AH8" s="83" t="s">
        <v>131</v>
      </c>
      <c r="AI8" s="59"/>
      <c r="AJ8" s="59"/>
      <c r="AK8" s="80">
        <v>25</v>
      </c>
      <c r="AL8" s="48"/>
      <c r="AM8" s="45" t="s">
        <v>42</v>
      </c>
      <c r="AN8" s="83" t="s">
        <v>131</v>
      </c>
      <c r="AO8" s="59"/>
      <c r="AP8" s="59"/>
      <c r="AQ8" s="80">
        <v>25</v>
      </c>
      <c r="AR8" s="48"/>
      <c r="AS8" s="65" t="s">
        <v>136</v>
      </c>
      <c r="AT8" s="90" t="s">
        <v>131</v>
      </c>
      <c r="AU8" s="89">
        <f>(($I14+$I18)/3)*(1+$B$4)^5</f>
        <v>2.5660792666666672</v>
      </c>
      <c r="AV8" s="89">
        <f>AU8*(1.2)+MAX(AU14,AU18)</f>
        <v>5.6453743866666679</v>
      </c>
      <c r="AW8" s="90">
        <v>10</v>
      </c>
      <c r="AX8" s="72">
        <f t="shared" ref="AX8" si="0">AV8/AW8</f>
        <v>0.56453743866666684</v>
      </c>
      <c r="AZ8" s="87" t="s">
        <v>47</v>
      </c>
      <c r="BA8" s="95" t="s">
        <v>131</v>
      </c>
      <c r="BB8" s="86">
        <f>(($I14+$I18)/3)*(1+$B$4)^8</f>
        <v>3.4154515039333346</v>
      </c>
      <c r="BC8" s="86">
        <f>BB8*(1.2)+MAX(BB14,BB18)</f>
        <v>7.5139933086533368</v>
      </c>
      <c r="BD8" s="95">
        <v>10</v>
      </c>
      <c r="BE8" s="88">
        <f t="shared" ref="BE8:BE9" si="1">BC8/BD8</f>
        <v>0.75139933086533373</v>
      </c>
    </row>
    <row r="9" spans="2:57" x14ac:dyDescent="0.3">
      <c r="B9" s="17">
        <v>4</v>
      </c>
      <c r="C9" s="18">
        <v>42664</v>
      </c>
      <c r="D9" s="17" t="s">
        <v>60</v>
      </c>
      <c r="E9" s="2" t="s">
        <v>16</v>
      </c>
      <c r="F9" s="2">
        <v>10</v>
      </c>
      <c r="G9" s="2" t="s">
        <v>54</v>
      </c>
      <c r="H9" s="2" t="s">
        <v>54</v>
      </c>
      <c r="I9" s="2">
        <v>0.86</v>
      </c>
      <c r="J9" s="11">
        <f>SUM(J10:J11)</f>
        <v>4.8319999999999999</v>
      </c>
      <c r="K9" s="9">
        <f>J9/F9</f>
        <v>0.48319999999999996</v>
      </c>
      <c r="L9" s="14" t="s">
        <v>96</v>
      </c>
      <c r="M9" s="17" t="s">
        <v>60</v>
      </c>
      <c r="N9" s="2" t="s">
        <v>118</v>
      </c>
      <c r="O9" s="2">
        <v>10</v>
      </c>
      <c r="P9" s="74">
        <f>J9/O9</f>
        <v>0.48319999999999996</v>
      </c>
      <c r="Q9" s="17" t="s">
        <v>60</v>
      </c>
      <c r="R9" s="2" t="s">
        <v>118</v>
      </c>
      <c r="S9" s="2">
        <v>10</v>
      </c>
      <c r="T9" s="36">
        <f>J9/S9</f>
        <v>0.48319999999999996</v>
      </c>
      <c r="U9" s="17" t="s">
        <v>60</v>
      </c>
      <c r="V9" s="2" t="s">
        <v>118</v>
      </c>
      <c r="W9" s="11">
        <f>SUM(W10:W11)</f>
        <v>0.94600000000000006</v>
      </c>
      <c r="X9" s="11">
        <f>SUM(X10:X11)</f>
        <v>5.3151999999999999</v>
      </c>
      <c r="Y9" s="2">
        <v>10</v>
      </c>
      <c r="Z9" s="36">
        <f t="shared" ref="Z9:Z38" si="2">X9/Y9</f>
        <v>0.53151999999999999</v>
      </c>
      <c r="AA9" s="17" t="s">
        <v>60</v>
      </c>
      <c r="AB9" s="63" t="s">
        <v>118</v>
      </c>
      <c r="AC9" s="11">
        <f>SUM(AC10:AC11)</f>
        <v>1.0406000000000002</v>
      </c>
      <c r="AD9" s="11">
        <f>SUM(AD10:AD11)</f>
        <v>5.8467200000000012</v>
      </c>
      <c r="AE9" s="2">
        <v>10</v>
      </c>
      <c r="AF9" s="36">
        <f t="shared" ref="AF9" si="3">AD9/AE9</f>
        <v>0.58467200000000008</v>
      </c>
      <c r="AG9" s="17" t="s">
        <v>60</v>
      </c>
      <c r="AH9" s="63" t="s">
        <v>118</v>
      </c>
      <c r="AI9" s="11">
        <f>SUM(AI10:AI11)</f>
        <v>1.1446600000000002</v>
      </c>
      <c r="AJ9" s="11">
        <f>SUM(AJ10:AJ11)</f>
        <v>6.4313920000000016</v>
      </c>
      <c r="AK9" s="2">
        <v>10</v>
      </c>
      <c r="AL9" s="36">
        <f t="shared" ref="AL9" si="4">AJ9/AK9</f>
        <v>0.64313920000000013</v>
      </c>
      <c r="AM9" s="17" t="s">
        <v>60</v>
      </c>
      <c r="AN9" s="63" t="s">
        <v>118</v>
      </c>
      <c r="AO9" s="11">
        <f>SUM(AO10:AO11)</f>
        <v>1.2591260000000004</v>
      </c>
      <c r="AP9" s="11">
        <f>SUM(AP10:AP11)</f>
        <v>7.0745312000000009</v>
      </c>
      <c r="AQ9" s="2">
        <v>10</v>
      </c>
      <c r="AR9" s="36">
        <f t="shared" ref="AR9" si="5">AP9/AQ9</f>
        <v>0.70745312000000005</v>
      </c>
      <c r="AS9" s="17" t="s">
        <v>60</v>
      </c>
      <c r="AT9" s="63" t="s">
        <v>118</v>
      </c>
      <c r="AU9" s="11">
        <f>SUM(AU10:AU11)</f>
        <v>1.3850386000000006</v>
      </c>
      <c r="AV9" s="11">
        <f>SUM(AV10:AV11)</f>
        <v>7.7819843200000021</v>
      </c>
      <c r="AW9" s="2">
        <v>10</v>
      </c>
      <c r="AX9" s="36">
        <f t="shared" ref="AX9" si="6">AV9/AW9</f>
        <v>0.77819843200000016</v>
      </c>
      <c r="AZ9" s="17" t="s">
        <v>60</v>
      </c>
      <c r="BA9" s="63" t="s">
        <v>105</v>
      </c>
      <c r="BB9" s="11">
        <f>SUM(BB10:BB11)</f>
        <v>1.8434863766000009</v>
      </c>
      <c r="BC9" s="11">
        <f>SUM(BC10:BC11)</f>
        <v>10.357821129920005</v>
      </c>
      <c r="BD9" s="2">
        <v>25</v>
      </c>
      <c r="BE9" s="36">
        <f t="shared" si="1"/>
        <v>0.41431284519680017</v>
      </c>
    </row>
    <row r="10" spans="2:57" x14ac:dyDescent="0.3">
      <c r="B10" s="30"/>
      <c r="C10" s="31"/>
      <c r="D10" s="30" t="s">
        <v>145</v>
      </c>
      <c r="E10" s="119" t="s">
        <v>68</v>
      </c>
      <c r="F10" s="119"/>
      <c r="G10" s="119" t="s">
        <v>54</v>
      </c>
      <c r="H10" s="119" t="s">
        <v>75</v>
      </c>
      <c r="I10" s="119">
        <v>0.86</v>
      </c>
      <c r="J10" s="120">
        <f>I10*1.2+I17</f>
        <v>1.532</v>
      </c>
      <c r="K10" s="121">
        <f>J10/F9</f>
        <v>0.1532</v>
      </c>
      <c r="L10" s="122" t="s">
        <v>96</v>
      </c>
      <c r="M10" s="30" t="s">
        <v>145</v>
      </c>
      <c r="N10" s="119" t="s">
        <v>54</v>
      </c>
      <c r="O10" s="119"/>
      <c r="P10" s="123"/>
      <c r="Q10" s="30" t="s">
        <v>145</v>
      </c>
      <c r="R10" s="119" t="s">
        <v>54</v>
      </c>
      <c r="S10" s="119"/>
      <c r="T10" s="124"/>
      <c r="U10" s="30" t="s">
        <v>145</v>
      </c>
      <c r="V10" s="119" t="s">
        <v>54</v>
      </c>
      <c r="W10" s="120">
        <f>$I10*(1+$B$4)^1</f>
        <v>0.94600000000000006</v>
      </c>
      <c r="X10" s="120">
        <f>W10*1.2+W17</f>
        <v>1.6852</v>
      </c>
      <c r="Y10" s="119"/>
      <c r="Z10" s="124"/>
      <c r="AA10" s="30" t="s">
        <v>145</v>
      </c>
      <c r="AB10" s="125" t="s">
        <v>54</v>
      </c>
      <c r="AC10" s="120">
        <f>$I10*(1+$B$4)^2</f>
        <v>1.0406000000000002</v>
      </c>
      <c r="AD10" s="120">
        <f>AC10*1.2+AC17</f>
        <v>1.8537200000000005</v>
      </c>
      <c r="AE10" s="119"/>
      <c r="AF10" s="124"/>
      <c r="AG10" s="30" t="s">
        <v>145</v>
      </c>
      <c r="AH10" s="125" t="s">
        <v>54</v>
      </c>
      <c r="AI10" s="120">
        <f>$I10*(1+$B$4)^3</f>
        <v>1.1446600000000002</v>
      </c>
      <c r="AJ10" s="120">
        <f>AI10*1.2+AI17</f>
        <v>2.0390920000000001</v>
      </c>
      <c r="AK10" s="119"/>
      <c r="AL10" s="124"/>
      <c r="AM10" s="30" t="s">
        <v>145</v>
      </c>
      <c r="AN10" s="125" t="s">
        <v>54</v>
      </c>
      <c r="AO10" s="120">
        <f>$I10*(1+$B$4)^4</f>
        <v>1.2591260000000004</v>
      </c>
      <c r="AP10" s="120">
        <f>AO10*1.2+AO17</f>
        <v>2.2430012000000006</v>
      </c>
      <c r="AQ10" s="119"/>
      <c r="AR10" s="124"/>
      <c r="AS10" s="30" t="s">
        <v>145</v>
      </c>
      <c r="AT10" s="125" t="s">
        <v>54</v>
      </c>
      <c r="AU10" s="120">
        <f>$I10*(1+$B$4)^5</f>
        <v>1.3850386000000006</v>
      </c>
      <c r="AV10" s="120">
        <f>AU10*1.2+AU17</f>
        <v>2.4673013200000007</v>
      </c>
      <c r="AW10" s="119"/>
      <c r="AX10" s="124"/>
      <c r="AZ10" s="30" t="s">
        <v>145</v>
      </c>
      <c r="BA10" s="125" t="s">
        <v>54</v>
      </c>
      <c r="BB10" s="120">
        <f>$I10*(1+$B$4)^8</f>
        <v>1.8434863766000009</v>
      </c>
      <c r="BC10" s="120">
        <f>BB10*1.2+BB17</f>
        <v>3.2839780569200014</v>
      </c>
      <c r="BD10" s="119"/>
      <c r="BE10" s="124"/>
    </row>
    <row r="11" spans="2:57" x14ac:dyDescent="0.3">
      <c r="B11" s="30"/>
      <c r="C11" s="31"/>
      <c r="D11" s="30" t="s">
        <v>147</v>
      </c>
      <c r="E11" s="119" t="s">
        <v>69</v>
      </c>
      <c r="F11" s="119"/>
      <c r="G11" s="119" t="s">
        <v>54</v>
      </c>
      <c r="H11" s="119" t="s">
        <v>76</v>
      </c>
      <c r="I11" s="119">
        <v>0</v>
      </c>
      <c r="J11" s="120">
        <f>I11*1.2+I37</f>
        <v>3.3</v>
      </c>
      <c r="K11" s="121">
        <f>J11/F9</f>
        <v>0.32999999999999996</v>
      </c>
      <c r="L11" s="122" t="s">
        <v>96</v>
      </c>
      <c r="M11" s="30" t="s">
        <v>147</v>
      </c>
      <c r="N11" s="119" t="s">
        <v>54</v>
      </c>
      <c r="O11" s="119"/>
      <c r="P11" s="123"/>
      <c r="Q11" s="30" t="s">
        <v>147</v>
      </c>
      <c r="R11" s="119" t="s">
        <v>54</v>
      </c>
      <c r="S11" s="119"/>
      <c r="T11" s="124"/>
      <c r="U11" s="30" t="s">
        <v>147</v>
      </c>
      <c r="V11" s="119" t="s">
        <v>54</v>
      </c>
      <c r="W11" s="120">
        <f>$I11*(1+$B$4)^1</f>
        <v>0</v>
      </c>
      <c r="X11" s="120">
        <f>W11*1.2+W37</f>
        <v>3.63</v>
      </c>
      <c r="Y11" s="119"/>
      <c r="Z11" s="124"/>
      <c r="AA11" s="30" t="s">
        <v>147</v>
      </c>
      <c r="AB11" s="125" t="s">
        <v>54</v>
      </c>
      <c r="AC11" s="120">
        <f>$I11*(1+$B$4)^2</f>
        <v>0</v>
      </c>
      <c r="AD11" s="120">
        <f>AC11*1.2+AC37</f>
        <v>3.9930000000000003</v>
      </c>
      <c r="AE11" s="119"/>
      <c r="AF11" s="124"/>
      <c r="AG11" s="30" t="s">
        <v>147</v>
      </c>
      <c r="AH11" s="125" t="s">
        <v>54</v>
      </c>
      <c r="AI11" s="120">
        <f>$I11*(1+$B$4)^3</f>
        <v>0</v>
      </c>
      <c r="AJ11" s="120">
        <f>AI11*1.2+AI37</f>
        <v>4.3923000000000014</v>
      </c>
      <c r="AK11" s="119"/>
      <c r="AL11" s="124"/>
      <c r="AM11" s="30" t="s">
        <v>147</v>
      </c>
      <c r="AN11" s="125" t="s">
        <v>54</v>
      </c>
      <c r="AO11" s="120">
        <f>$I11*(1+$B$4)^4</f>
        <v>0</v>
      </c>
      <c r="AP11" s="120">
        <f>AO11*1.2+AO37</f>
        <v>4.8315300000000008</v>
      </c>
      <c r="AQ11" s="119"/>
      <c r="AR11" s="124"/>
      <c r="AS11" s="30" t="s">
        <v>147</v>
      </c>
      <c r="AT11" s="125" t="s">
        <v>54</v>
      </c>
      <c r="AU11" s="120">
        <f>$I11*(1+$B$4)^5</f>
        <v>0</v>
      </c>
      <c r="AV11" s="120">
        <f>AU11*1.2+AU37</f>
        <v>5.3146830000000014</v>
      </c>
      <c r="AW11" s="119"/>
      <c r="AX11" s="124"/>
      <c r="AZ11" s="30" t="s">
        <v>147</v>
      </c>
      <c r="BA11" s="125" t="s">
        <v>54</v>
      </c>
      <c r="BB11" s="120">
        <f>$I11*(1+$B$4)^8</f>
        <v>0</v>
      </c>
      <c r="BC11" s="120">
        <f>BB11*1.2+BB37</f>
        <v>7.0738430730000035</v>
      </c>
      <c r="BD11" s="119"/>
      <c r="BE11" s="124"/>
    </row>
    <row r="12" spans="2:57" x14ac:dyDescent="0.3">
      <c r="B12" s="17">
        <v>5</v>
      </c>
      <c r="C12" s="18">
        <v>42665</v>
      </c>
      <c r="D12" s="17" t="s">
        <v>40</v>
      </c>
      <c r="E12" s="2" t="s">
        <v>17</v>
      </c>
      <c r="F12" s="2">
        <v>10</v>
      </c>
      <c r="G12" s="2" t="s">
        <v>59</v>
      </c>
      <c r="H12" s="2" t="s">
        <v>81</v>
      </c>
      <c r="I12" s="2">
        <v>3.47</v>
      </c>
      <c r="J12" s="11">
        <f>I12*(1.2)+I6</f>
        <v>6.6039999999999992</v>
      </c>
      <c r="K12" s="9">
        <f>J12/F12</f>
        <v>0.66039999999999988</v>
      </c>
      <c r="L12" s="14" t="s">
        <v>96</v>
      </c>
      <c r="M12" s="17" t="s">
        <v>40</v>
      </c>
      <c r="N12" s="2" t="s">
        <v>115</v>
      </c>
      <c r="O12" s="2">
        <v>10</v>
      </c>
      <c r="P12" s="74">
        <f t="shared" ref="P12:P18" si="7">J12/O12</f>
        <v>0.66039999999999988</v>
      </c>
      <c r="Q12" s="17" t="s">
        <v>40</v>
      </c>
      <c r="R12" s="2" t="s">
        <v>115</v>
      </c>
      <c r="S12" s="2">
        <v>10</v>
      </c>
      <c r="T12" s="36">
        <f>J12/S12</f>
        <v>0.66039999999999988</v>
      </c>
      <c r="U12" s="17" t="s">
        <v>40</v>
      </c>
      <c r="V12" s="2" t="s">
        <v>115</v>
      </c>
      <c r="W12" s="11">
        <f>$I12*(1+$B$4)^1</f>
        <v>3.8170000000000006</v>
      </c>
      <c r="X12" s="11">
        <f>W12*(1.2)+W6</f>
        <v>7.2644000000000011</v>
      </c>
      <c r="Y12" s="2">
        <v>10</v>
      </c>
      <c r="Z12" s="36">
        <f t="shared" si="2"/>
        <v>0.72644000000000009</v>
      </c>
      <c r="AA12" s="17" t="s">
        <v>40</v>
      </c>
      <c r="AB12" s="63" t="s">
        <v>115</v>
      </c>
      <c r="AC12" s="11">
        <f>$I12*(1+$B$4)^2</f>
        <v>4.1987000000000005</v>
      </c>
      <c r="AD12" s="11">
        <f>AC12*(1.2)+AC6</f>
        <v>7.9908400000000004</v>
      </c>
      <c r="AE12" s="2">
        <v>10</v>
      </c>
      <c r="AF12" s="61">
        <f t="shared" ref="AF12" si="8">AD12/AE12</f>
        <v>0.79908400000000002</v>
      </c>
      <c r="AG12" s="68" t="s">
        <v>40</v>
      </c>
      <c r="AH12" s="41" t="s">
        <v>123</v>
      </c>
      <c r="AI12" s="73">
        <f>($I6+$I12)*(1+$B$4)^3</f>
        <v>7.8662100000000024</v>
      </c>
      <c r="AJ12" s="73">
        <f>AI12*(1.2)</f>
        <v>9.4394520000000028</v>
      </c>
      <c r="AK12" s="41">
        <v>100</v>
      </c>
      <c r="AL12" s="94">
        <f t="shared" ref="AL12" si="9">AJ12/AK12</f>
        <v>9.4394520000000023E-2</v>
      </c>
      <c r="AM12" s="87" t="s">
        <v>40</v>
      </c>
      <c r="AN12" s="63" t="s">
        <v>123</v>
      </c>
      <c r="AO12" s="86">
        <f>($I6+$I12)*(1+$B$4)^4</f>
        <v>8.6528310000000026</v>
      </c>
      <c r="AP12" s="86">
        <f>AO12*(1.2)</f>
        <v>10.383397200000003</v>
      </c>
      <c r="AQ12" s="63">
        <v>100</v>
      </c>
      <c r="AR12" s="64">
        <f t="shared" ref="AR12" si="10">AP12/AQ12</f>
        <v>0.10383397200000002</v>
      </c>
      <c r="AS12" s="17" t="s">
        <v>40</v>
      </c>
      <c r="AT12" s="63" t="s">
        <v>123</v>
      </c>
      <c r="AU12" s="11">
        <f>($I6+$I12)*(1+$B$4)^5</f>
        <v>9.5181141000000036</v>
      </c>
      <c r="AV12" s="11">
        <f>AU12*(1.2)</f>
        <v>11.421736920000004</v>
      </c>
      <c r="AW12" s="2">
        <v>100</v>
      </c>
      <c r="AX12" s="88">
        <f t="shared" ref="AX12" si="11">AV12/AW12</f>
        <v>0.11421736920000004</v>
      </c>
      <c r="AZ12" s="17" t="s">
        <v>40</v>
      </c>
      <c r="BA12" s="63" t="s">
        <v>123</v>
      </c>
      <c r="BB12" s="11">
        <f>($I6+$I12)*(1+$B$4)^8</f>
        <v>12.668609867100008</v>
      </c>
      <c r="BC12" s="11">
        <f>BB12*(1.2)</f>
        <v>15.202331840520008</v>
      </c>
      <c r="BD12" s="2">
        <v>100</v>
      </c>
      <c r="BE12" s="88">
        <f t="shared" ref="BE12" si="12">BC12/BD12</f>
        <v>0.15202331840520009</v>
      </c>
    </row>
    <row r="13" spans="2:57" x14ac:dyDescent="0.3">
      <c r="B13" s="19">
        <v>6</v>
      </c>
      <c r="C13" s="20">
        <v>42666</v>
      </c>
      <c r="D13" s="19" t="s">
        <v>61</v>
      </c>
      <c r="E13" s="6" t="s">
        <v>18</v>
      </c>
      <c r="F13" s="6">
        <v>1</v>
      </c>
      <c r="G13" s="6"/>
      <c r="H13" s="6"/>
      <c r="I13" s="6">
        <v>0</v>
      </c>
      <c r="J13" s="6"/>
      <c r="K13" s="6"/>
      <c r="L13" s="15" t="s">
        <v>43</v>
      </c>
      <c r="M13" s="19" t="s">
        <v>61</v>
      </c>
      <c r="N13" s="6" t="s">
        <v>109</v>
      </c>
      <c r="O13" s="6">
        <v>1</v>
      </c>
      <c r="P13" s="76">
        <f t="shared" si="7"/>
        <v>0</v>
      </c>
      <c r="Q13" s="19" t="s">
        <v>61</v>
      </c>
      <c r="R13" s="6" t="s">
        <v>109</v>
      </c>
      <c r="S13" s="6">
        <v>1</v>
      </c>
      <c r="T13" s="37"/>
      <c r="U13" s="19" t="s">
        <v>61</v>
      </c>
      <c r="V13" s="6" t="s">
        <v>109</v>
      </c>
      <c r="W13" s="60"/>
      <c r="X13" s="60"/>
      <c r="Y13" s="6">
        <v>1</v>
      </c>
      <c r="Z13" s="37"/>
      <c r="AA13" s="19" t="s">
        <v>61</v>
      </c>
      <c r="AB13" s="84" t="s">
        <v>109</v>
      </c>
      <c r="AC13" s="60"/>
      <c r="AD13" s="60"/>
      <c r="AE13" s="6">
        <v>1</v>
      </c>
      <c r="AF13" s="37"/>
      <c r="AG13" s="19" t="s">
        <v>61</v>
      </c>
      <c r="AH13" s="84" t="s">
        <v>109</v>
      </c>
      <c r="AI13" s="60"/>
      <c r="AJ13" s="60"/>
      <c r="AK13" s="6">
        <v>1</v>
      </c>
      <c r="AL13" s="37"/>
      <c r="AM13" s="19" t="s">
        <v>61</v>
      </c>
      <c r="AN13" s="84" t="s">
        <v>109</v>
      </c>
      <c r="AO13" s="60"/>
      <c r="AP13" s="60"/>
      <c r="AQ13" s="6">
        <v>1</v>
      </c>
      <c r="AR13" s="37"/>
      <c r="AS13" s="19" t="s">
        <v>61</v>
      </c>
      <c r="AT13" s="84" t="s">
        <v>109</v>
      </c>
      <c r="AU13" s="60"/>
      <c r="AV13" s="60"/>
      <c r="AW13" s="6">
        <v>1</v>
      </c>
      <c r="AX13" s="37"/>
      <c r="AZ13" s="19" t="s">
        <v>61</v>
      </c>
      <c r="BA13" s="84" t="s">
        <v>109</v>
      </c>
      <c r="BB13" s="60"/>
      <c r="BC13" s="60"/>
      <c r="BD13" s="6">
        <v>1</v>
      </c>
      <c r="BE13" s="37"/>
    </row>
    <row r="14" spans="2:57" x14ac:dyDescent="0.3">
      <c r="B14" s="17">
        <v>7</v>
      </c>
      <c r="C14" s="18">
        <v>42667</v>
      </c>
      <c r="D14" s="17" t="s">
        <v>47</v>
      </c>
      <c r="E14" s="2" t="s">
        <v>19</v>
      </c>
      <c r="F14" s="2">
        <v>10</v>
      </c>
      <c r="G14" s="2" t="s">
        <v>64</v>
      </c>
      <c r="H14" s="2" t="s">
        <v>82</v>
      </c>
      <c r="I14" s="2">
        <v>2.3199999999999998</v>
      </c>
      <c r="J14" s="11">
        <f>I14*(1.2)+I18</f>
        <v>5.2439999999999998</v>
      </c>
      <c r="K14" s="9">
        <f>J14/F14</f>
        <v>0.52439999999999998</v>
      </c>
      <c r="L14" s="14" t="s">
        <v>96</v>
      </c>
      <c r="M14" s="17" t="s">
        <v>47</v>
      </c>
      <c r="N14" s="2" t="s">
        <v>111</v>
      </c>
      <c r="O14" s="2">
        <v>10</v>
      </c>
      <c r="P14" s="74">
        <f t="shared" si="7"/>
        <v>0.52439999999999998</v>
      </c>
      <c r="Q14" s="17" t="s">
        <v>47</v>
      </c>
      <c r="R14" s="2" t="s">
        <v>111</v>
      </c>
      <c r="S14" s="2">
        <v>10</v>
      </c>
      <c r="T14" s="36">
        <f>J14/S14</f>
        <v>0.52439999999999998</v>
      </c>
      <c r="U14" s="17" t="s">
        <v>47</v>
      </c>
      <c r="V14" s="2" t="s">
        <v>111</v>
      </c>
      <c r="W14" s="11">
        <f>$I14*(1+$B$4)^1</f>
        <v>2.552</v>
      </c>
      <c r="X14" s="11">
        <f>W14*(1.2)+W18</f>
        <v>5.7683999999999997</v>
      </c>
      <c r="Y14" s="2">
        <v>10</v>
      </c>
      <c r="Z14" s="36">
        <f t="shared" si="2"/>
        <v>0.57684000000000002</v>
      </c>
      <c r="AA14" s="17" t="s">
        <v>47</v>
      </c>
      <c r="AB14" s="63" t="s">
        <v>111</v>
      </c>
      <c r="AC14" s="11">
        <f>$I14*(1+$B$4)^2</f>
        <v>2.8072000000000004</v>
      </c>
      <c r="AD14" s="11">
        <f>AC14*(1.2)+AC18</f>
        <v>6.3452400000000004</v>
      </c>
      <c r="AE14" s="2">
        <v>10</v>
      </c>
      <c r="AF14" s="36">
        <f t="shared" ref="AF14:AF18" si="13">AD14/AE14</f>
        <v>0.63452400000000009</v>
      </c>
      <c r="AG14" s="17" t="s">
        <v>47</v>
      </c>
      <c r="AH14" s="63" t="s">
        <v>111</v>
      </c>
      <c r="AI14" s="11">
        <f>$I14*(1+$B$4)^3</f>
        <v>3.0879200000000009</v>
      </c>
      <c r="AJ14" s="11">
        <f>AI14*(1.2)+AI18</f>
        <v>6.9797640000000012</v>
      </c>
      <c r="AK14" s="2">
        <v>10</v>
      </c>
      <c r="AL14" s="36">
        <f t="shared" ref="AL14:AL18" si="14">AJ14/AK14</f>
        <v>0.69797640000000016</v>
      </c>
      <c r="AM14" s="17" t="s">
        <v>47</v>
      </c>
      <c r="AN14" s="63" t="s">
        <v>111</v>
      </c>
      <c r="AO14" s="11">
        <f>$I14*(1+$B$4)^4</f>
        <v>3.3967120000000008</v>
      </c>
      <c r="AP14" s="11">
        <f>AO14*(1.2)+AO18</f>
        <v>7.677740400000002</v>
      </c>
      <c r="AQ14" s="2">
        <v>10</v>
      </c>
      <c r="AR14" s="36">
        <f t="shared" ref="AR14:AR18" si="15">AP14/AQ14</f>
        <v>0.76777404000000016</v>
      </c>
      <c r="AS14" s="17" t="s">
        <v>47</v>
      </c>
      <c r="AT14" s="63" t="s">
        <v>111</v>
      </c>
      <c r="AU14" s="11">
        <f>(($I14+$I18)/3)*(1+$B$4)^5</f>
        <v>2.5660792666666672</v>
      </c>
      <c r="AV14" s="11">
        <f>AU14*(1.2)+MAX(AU8,AU18)</f>
        <v>5.6453743866666679</v>
      </c>
      <c r="AW14" s="2">
        <v>10</v>
      </c>
      <c r="AX14" s="36">
        <f t="shared" ref="AX14:AX18" si="16">AV14/AW14</f>
        <v>0.56453743866666684</v>
      </c>
      <c r="AZ14" s="17" t="s">
        <v>47</v>
      </c>
      <c r="BA14" s="63" t="s">
        <v>111</v>
      </c>
      <c r="BB14" s="11">
        <f>(($I14+$I18)/3)*(1+$B$4)^8</f>
        <v>3.4154515039333346</v>
      </c>
      <c r="BC14" s="11">
        <f>BB14*(1.2)+MAX(BB8,BB18)</f>
        <v>7.5139933086533368</v>
      </c>
      <c r="BD14" s="2">
        <v>10</v>
      </c>
      <c r="BE14" s="36">
        <f t="shared" ref="BE14:BE18" si="17">BC14/BD14</f>
        <v>0.75139933086533373</v>
      </c>
    </row>
    <row r="15" spans="2:57" x14ac:dyDescent="0.3">
      <c r="B15" s="21">
        <v>8</v>
      </c>
      <c r="C15" s="22">
        <v>42668</v>
      </c>
      <c r="D15" s="21" t="s">
        <v>62</v>
      </c>
      <c r="E15" s="8" t="s">
        <v>20</v>
      </c>
      <c r="F15" s="8">
        <v>1</v>
      </c>
      <c r="G15" s="8"/>
      <c r="H15" s="8" t="s">
        <v>80</v>
      </c>
      <c r="I15" s="8">
        <v>0.54</v>
      </c>
      <c r="J15" s="12">
        <f>I15*(1.2)</f>
        <v>0.64800000000000002</v>
      </c>
      <c r="K15" s="10">
        <f>J15/F15</f>
        <v>0.64800000000000002</v>
      </c>
      <c r="L15" s="16" t="s">
        <v>93</v>
      </c>
      <c r="M15" s="21" t="s">
        <v>62</v>
      </c>
      <c r="N15" s="8" t="s">
        <v>112</v>
      </c>
      <c r="O15" s="8">
        <v>1</v>
      </c>
      <c r="P15" s="77">
        <f t="shared" si="7"/>
        <v>0.64800000000000002</v>
      </c>
      <c r="Q15" s="21" t="s">
        <v>62</v>
      </c>
      <c r="R15" s="8" t="s">
        <v>112</v>
      </c>
      <c r="S15" s="8">
        <v>1</v>
      </c>
      <c r="T15" s="57">
        <f>J15/S15</f>
        <v>0.64800000000000002</v>
      </c>
      <c r="U15" s="21" t="s">
        <v>62</v>
      </c>
      <c r="V15" s="8" t="s">
        <v>112</v>
      </c>
      <c r="W15" s="12">
        <f>I15</f>
        <v>0.54</v>
      </c>
      <c r="X15" s="12">
        <f>W15*(1.2)</f>
        <v>0.64800000000000002</v>
      </c>
      <c r="Y15" s="8">
        <v>1</v>
      </c>
      <c r="Z15" s="57">
        <f t="shared" si="2"/>
        <v>0.64800000000000002</v>
      </c>
      <c r="AA15" s="21" t="s">
        <v>62</v>
      </c>
      <c r="AB15" s="85" t="s">
        <v>112</v>
      </c>
      <c r="AC15" s="12">
        <f>$I$15</f>
        <v>0.54</v>
      </c>
      <c r="AD15" s="12">
        <f>AC15*(1.2)</f>
        <v>0.64800000000000002</v>
      </c>
      <c r="AE15" s="8">
        <v>1</v>
      </c>
      <c r="AF15" s="57">
        <f t="shared" si="13"/>
        <v>0.64800000000000002</v>
      </c>
      <c r="AG15" s="21" t="s">
        <v>62</v>
      </c>
      <c r="AH15" s="85" t="s">
        <v>112</v>
      </c>
      <c r="AI15" s="12">
        <f>$I$15</f>
        <v>0.54</v>
      </c>
      <c r="AJ15" s="12">
        <f>AI15*(1.2)</f>
        <v>0.64800000000000002</v>
      </c>
      <c r="AK15" s="8">
        <v>1</v>
      </c>
      <c r="AL15" s="57">
        <f t="shared" si="14"/>
        <v>0.64800000000000002</v>
      </c>
      <c r="AM15" s="21" t="s">
        <v>62</v>
      </c>
      <c r="AN15" s="85" t="s">
        <v>112</v>
      </c>
      <c r="AO15" s="12">
        <f>$I$15</f>
        <v>0.54</v>
      </c>
      <c r="AP15" s="12">
        <f>AO15*(1.2)</f>
        <v>0.64800000000000002</v>
      </c>
      <c r="AQ15" s="8">
        <v>1</v>
      </c>
      <c r="AR15" s="57">
        <f t="shared" si="15"/>
        <v>0.64800000000000002</v>
      </c>
      <c r="AS15" s="21" t="s">
        <v>62</v>
      </c>
      <c r="AT15" s="85" t="s">
        <v>112</v>
      </c>
      <c r="AU15" s="12">
        <f>$I$15</f>
        <v>0.54</v>
      </c>
      <c r="AV15" s="12">
        <f>AU15*(1.2)</f>
        <v>0.64800000000000002</v>
      </c>
      <c r="AW15" s="8">
        <v>1</v>
      </c>
      <c r="AX15" s="57">
        <f t="shared" si="16"/>
        <v>0.64800000000000002</v>
      </c>
      <c r="AZ15" s="21" t="s">
        <v>62</v>
      </c>
      <c r="BA15" s="85" t="s">
        <v>112</v>
      </c>
      <c r="BB15" s="12">
        <f>$I$15</f>
        <v>0.54</v>
      </c>
      <c r="BC15" s="12">
        <f>BB15*(1.2)</f>
        <v>0.64800000000000002</v>
      </c>
      <c r="BD15" s="8">
        <v>1</v>
      </c>
      <c r="BE15" s="57">
        <f t="shared" si="17"/>
        <v>0.64800000000000002</v>
      </c>
    </row>
    <row r="16" spans="2:57" x14ac:dyDescent="0.3">
      <c r="B16" s="17">
        <v>9</v>
      </c>
      <c r="C16" s="18">
        <v>42669</v>
      </c>
      <c r="D16" s="17" t="s">
        <v>41</v>
      </c>
      <c r="E16" s="2" t="s">
        <v>21</v>
      </c>
      <c r="F16" s="2">
        <v>10</v>
      </c>
      <c r="G16" s="2" t="s">
        <v>54</v>
      </c>
      <c r="H16" s="2" t="s">
        <v>77</v>
      </c>
      <c r="I16" s="2">
        <v>4.4800000000000004</v>
      </c>
      <c r="J16" s="11">
        <f>I16*(1.2)+I24</f>
        <v>9.4359999999999999</v>
      </c>
      <c r="K16" s="13">
        <f>J16/F16</f>
        <v>0.94359999999999999</v>
      </c>
      <c r="L16" s="14" t="s">
        <v>96</v>
      </c>
      <c r="M16" s="17" t="s">
        <v>41</v>
      </c>
      <c r="N16" s="2" t="s">
        <v>134</v>
      </c>
      <c r="O16" s="2">
        <v>10</v>
      </c>
      <c r="P16" s="78">
        <f t="shared" si="7"/>
        <v>0.94359999999999999</v>
      </c>
      <c r="Q16" s="68" t="s">
        <v>41</v>
      </c>
      <c r="R16" s="41" t="s">
        <v>134</v>
      </c>
      <c r="S16" s="41">
        <v>25</v>
      </c>
      <c r="T16" s="62">
        <f>J16/S16</f>
        <v>0.37744</v>
      </c>
      <c r="U16" s="17" t="s">
        <v>41</v>
      </c>
      <c r="V16" s="2" t="s">
        <v>134</v>
      </c>
      <c r="W16" s="11">
        <f>$I16*(1+$B$4)^1</f>
        <v>4.9280000000000008</v>
      </c>
      <c r="X16" s="11">
        <f>W16*(1.2)+W24</f>
        <v>10.3796</v>
      </c>
      <c r="Y16" s="2">
        <v>25</v>
      </c>
      <c r="Z16" s="36">
        <f t="shared" si="2"/>
        <v>0.415184</v>
      </c>
      <c r="AA16" s="17" t="s">
        <v>41</v>
      </c>
      <c r="AB16" s="63" t="s">
        <v>134</v>
      </c>
      <c r="AC16" s="11">
        <f>$I16*(1+$B$4)^2</f>
        <v>5.4208000000000016</v>
      </c>
      <c r="AD16" s="11">
        <f>AC16*(1.2)+AC24</f>
        <v>11.417560000000002</v>
      </c>
      <c r="AE16" s="2">
        <v>25</v>
      </c>
      <c r="AF16" s="36">
        <f t="shared" si="13"/>
        <v>0.45670240000000006</v>
      </c>
      <c r="AG16" s="17" t="s">
        <v>41</v>
      </c>
      <c r="AH16" s="63" t="s">
        <v>134</v>
      </c>
      <c r="AI16" s="11">
        <f>$I16*(1+$B$4)^3</f>
        <v>5.962880000000002</v>
      </c>
      <c r="AJ16" s="11">
        <f>AI16*(1.2)+AI24</f>
        <v>12.559316000000003</v>
      </c>
      <c r="AK16" s="2">
        <v>25</v>
      </c>
      <c r="AL16" s="36">
        <f t="shared" si="14"/>
        <v>0.50237264000000015</v>
      </c>
      <c r="AM16" s="17" t="s">
        <v>41</v>
      </c>
      <c r="AN16" s="63" t="s">
        <v>134</v>
      </c>
      <c r="AO16" s="11">
        <f>$I16*(1+$B$4)^4</f>
        <v>6.5591680000000023</v>
      </c>
      <c r="AP16" s="11">
        <f>AO16*(1.2)+AO24</f>
        <v>13.815247600000003</v>
      </c>
      <c r="AQ16" s="2">
        <v>25</v>
      </c>
      <c r="AR16" s="36">
        <f t="shared" si="15"/>
        <v>0.5526099040000001</v>
      </c>
      <c r="AS16" s="17" t="s">
        <v>41</v>
      </c>
      <c r="AT16" s="63" t="s">
        <v>134</v>
      </c>
      <c r="AU16" s="11">
        <f>$I16*(1+$B$4)^5</f>
        <v>7.2150848000000032</v>
      </c>
      <c r="AV16" s="11">
        <f>AU16*(1.2)+AU24</f>
        <v>15.196772360000004</v>
      </c>
      <c r="AW16" s="2">
        <v>25</v>
      </c>
      <c r="AX16" s="36">
        <f t="shared" si="16"/>
        <v>0.60787089440000019</v>
      </c>
      <c r="AZ16" s="17" t="s">
        <v>41</v>
      </c>
      <c r="BA16" s="63" t="s">
        <v>134</v>
      </c>
      <c r="BB16" s="11">
        <f>$I16*(1+$B$4)^8</f>
        <v>9.6032778688000064</v>
      </c>
      <c r="BC16" s="11">
        <f>BB16*(1.2)+BB24</f>
        <v>20.226904011160009</v>
      </c>
      <c r="BD16" s="2">
        <v>40</v>
      </c>
      <c r="BE16" s="36">
        <f t="shared" si="17"/>
        <v>0.50567260027900018</v>
      </c>
    </row>
    <row r="17" spans="2:57" x14ac:dyDescent="0.3">
      <c r="B17" s="17">
        <v>10</v>
      </c>
      <c r="C17" s="18">
        <v>42670</v>
      </c>
      <c r="D17" s="17" t="s">
        <v>146</v>
      </c>
      <c r="E17" s="2" t="s">
        <v>22</v>
      </c>
      <c r="F17" s="2">
        <v>1</v>
      </c>
      <c r="G17" s="2" t="s">
        <v>54</v>
      </c>
      <c r="H17" s="2" t="s">
        <v>75</v>
      </c>
      <c r="I17" s="2">
        <v>0.5</v>
      </c>
      <c r="J17" s="11">
        <f>I17*(1.2)+I10</f>
        <v>1.46</v>
      </c>
      <c r="K17" s="13">
        <f>J17/F17</f>
        <v>1.46</v>
      </c>
      <c r="L17" s="14" t="s">
        <v>96</v>
      </c>
      <c r="M17" s="17" t="s">
        <v>146</v>
      </c>
      <c r="N17" s="2" t="s">
        <v>119</v>
      </c>
      <c r="O17" s="2">
        <v>1</v>
      </c>
      <c r="P17" s="78">
        <f t="shared" si="7"/>
        <v>1.46</v>
      </c>
      <c r="Q17" s="68" t="s">
        <v>146</v>
      </c>
      <c r="R17" s="41" t="s">
        <v>119</v>
      </c>
      <c r="S17" s="41">
        <v>10</v>
      </c>
      <c r="T17" s="62">
        <f>J17/S17</f>
        <v>0.14599999999999999</v>
      </c>
      <c r="U17" s="17" t="s">
        <v>146</v>
      </c>
      <c r="V17" s="63" t="s">
        <v>119</v>
      </c>
      <c r="W17" s="11">
        <f>$I17*(1+$B$4)^1</f>
        <v>0.55000000000000004</v>
      </c>
      <c r="X17" s="11">
        <f>W17*(1.2)+W10</f>
        <v>1.6060000000000001</v>
      </c>
      <c r="Y17" s="2">
        <v>10</v>
      </c>
      <c r="Z17" s="36">
        <f t="shared" si="2"/>
        <v>0.16060000000000002</v>
      </c>
      <c r="AA17" s="17" t="s">
        <v>146</v>
      </c>
      <c r="AB17" s="63" t="s">
        <v>119</v>
      </c>
      <c r="AC17" s="11">
        <f>$I17*(1+$B$4)^2</f>
        <v>0.60500000000000009</v>
      </c>
      <c r="AD17" s="11">
        <f>AC17*(1.2)+AC10</f>
        <v>1.7666000000000004</v>
      </c>
      <c r="AE17" s="2">
        <v>10</v>
      </c>
      <c r="AF17" s="36">
        <f t="shared" si="13"/>
        <v>0.17666000000000004</v>
      </c>
      <c r="AG17" s="17" t="s">
        <v>146</v>
      </c>
      <c r="AH17" s="63" t="s">
        <v>119</v>
      </c>
      <c r="AI17" s="11">
        <f>$I17*(1+$B$4)^3</f>
        <v>0.6655000000000002</v>
      </c>
      <c r="AJ17" s="11">
        <f>AI17*(1.2)+AI10</f>
        <v>1.9432600000000004</v>
      </c>
      <c r="AK17" s="2">
        <v>10</v>
      </c>
      <c r="AL17" s="36">
        <f t="shared" si="14"/>
        <v>0.19432600000000005</v>
      </c>
      <c r="AM17" s="17" t="s">
        <v>146</v>
      </c>
      <c r="AN17" s="63" t="s">
        <v>119</v>
      </c>
      <c r="AO17" s="11">
        <f>$I17*(1+$B$4)^4</f>
        <v>0.7320500000000002</v>
      </c>
      <c r="AP17" s="11">
        <f>AO17*(1.2)+AO10</f>
        <v>2.1375860000000007</v>
      </c>
      <c r="AQ17" s="2">
        <v>10</v>
      </c>
      <c r="AR17" s="36">
        <f t="shared" si="15"/>
        <v>0.21375860000000008</v>
      </c>
      <c r="AS17" s="17" t="s">
        <v>146</v>
      </c>
      <c r="AT17" s="63" t="s">
        <v>119</v>
      </c>
      <c r="AU17" s="11">
        <f>$I17*(1+$B$4)^5</f>
        <v>0.80525500000000028</v>
      </c>
      <c r="AV17" s="11">
        <f>AU17*(1.2)+AU10</f>
        <v>2.3513446000000009</v>
      </c>
      <c r="AW17" s="2">
        <v>10</v>
      </c>
      <c r="AX17" s="36">
        <f t="shared" si="16"/>
        <v>0.2351344600000001</v>
      </c>
      <c r="AZ17" s="17" t="s">
        <v>146</v>
      </c>
      <c r="BA17" s="63" t="s">
        <v>119</v>
      </c>
      <c r="BB17" s="11">
        <f>$I17*(1+$B$4)^8</f>
        <v>1.0717944050000006</v>
      </c>
      <c r="BC17" s="11">
        <f>BB17*(1.2)+BB10</f>
        <v>3.1296396626000016</v>
      </c>
      <c r="BD17" s="2">
        <v>10</v>
      </c>
      <c r="BE17" s="36">
        <f t="shared" si="17"/>
        <v>0.31296396626000017</v>
      </c>
    </row>
    <row r="18" spans="2:57" x14ac:dyDescent="0.3">
      <c r="B18" s="17">
        <v>11</v>
      </c>
      <c r="C18" s="18">
        <v>42671</v>
      </c>
      <c r="D18" s="17" t="s">
        <v>47</v>
      </c>
      <c r="E18" s="2" t="s">
        <v>23</v>
      </c>
      <c r="F18" s="2">
        <v>10</v>
      </c>
      <c r="G18" s="2" t="s">
        <v>65</v>
      </c>
      <c r="H18" s="2" t="s">
        <v>82</v>
      </c>
      <c r="I18" s="2">
        <v>2.46</v>
      </c>
      <c r="J18" s="11">
        <f>I18*(1.2)+I14</f>
        <v>5.2720000000000002</v>
      </c>
      <c r="K18" s="9">
        <f>J18/F18</f>
        <v>0.5272</v>
      </c>
      <c r="L18" s="14" t="s">
        <v>96</v>
      </c>
      <c r="M18" s="17" t="s">
        <v>47</v>
      </c>
      <c r="N18" s="2" t="s">
        <v>116</v>
      </c>
      <c r="O18" s="2">
        <v>10</v>
      </c>
      <c r="P18" s="74">
        <f t="shared" si="7"/>
        <v>0.5272</v>
      </c>
      <c r="Q18" s="17" t="s">
        <v>47</v>
      </c>
      <c r="R18" s="2" t="s">
        <v>116</v>
      </c>
      <c r="S18" s="2">
        <v>10</v>
      </c>
      <c r="T18" s="36">
        <f>J18/S18</f>
        <v>0.5272</v>
      </c>
      <c r="U18" s="17" t="s">
        <v>47</v>
      </c>
      <c r="V18" s="2" t="s">
        <v>116</v>
      </c>
      <c r="W18" s="11">
        <f>$I18*(1+$B$4)^1</f>
        <v>2.706</v>
      </c>
      <c r="X18" s="11">
        <f>W18*(1.2)+W14</f>
        <v>5.7991999999999999</v>
      </c>
      <c r="Y18" s="2">
        <v>10</v>
      </c>
      <c r="Z18" s="36">
        <f t="shared" si="2"/>
        <v>0.57991999999999999</v>
      </c>
      <c r="AA18" s="17" t="s">
        <v>47</v>
      </c>
      <c r="AB18" s="63" t="s">
        <v>116</v>
      </c>
      <c r="AC18" s="11">
        <f>$I18*(1+$B$4)^2</f>
        <v>2.9766000000000004</v>
      </c>
      <c r="AD18" s="11">
        <f>AC18*(1.2)+AC14</f>
        <v>6.3791200000000003</v>
      </c>
      <c r="AE18" s="2">
        <v>10</v>
      </c>
      <c r="AF18" s="36">
        <f t="shared" si="13"/>
        <v>0.63791200000000003</v>
      </c>
      <c r="AG18" s="17" t="s">
        <v>47</v>
      </c>
      <c r="AH18" s="63" t="s">
        <v>116</v>
      </c>
      <c r="AI18" s="11">
        <f>$I18*(1+$B$4)^3</f>
        <v>3.2742600000000008</v>
      </c>
      <c r="AJ18" s="11">
        <f>AI18*(1.2)+AI14</f>
        <v>7.0170320000000022</v>
      </c>
      <c r="AK18" s="2">
        <v>10</v>
      </c>
      <c r="AL18" s="36">
        <f t="shared" si="14"/>
        <v>0.70170320000000019</v>
      </c>
      <c r="AM18" s="17" t="s">
        <v>47</v>
      </c>
      <c r="AN18" s="63" t="s">
        <v>116</v>
      </c>
      <c r="AO18" s="11">
        <f>$I18*(1+$B$4)^4</f>
        <v>3.6016860000000008</v>
      </c>
      <c r="AP18" s="11">
        <f>AO18*(1.2)+AO14</f>
        <v>7.718735200000002</v>
      </c>
      <c r="AQ18" s="2">
        <v>10</v>
      </c>
      <c r="AR18" s="36">
        <f t="shared" si="15"/>
        <v>0.7718735200000002</v>
      </c>
      <c r="AS18" s="17" t="s">
        <v>47</v>
      </c>
      <c r="AT18" s="63" t="s">
        <v>116</v>
      </c>
      <c r="AU18" s="11">
        <f>(($I14+$I18)/3)*(1+$B$4)^5</f>
        <v>2.5660792666666672</v>
      </c>
      <c r="AV18" s="11">
        <f>AU18*(1.2)+MAX(AU8,AU14)</f>
        <v>5.6453743866666679</v>
      </c>
      <c r="AW18" s="2">
        <v>10</v>
      </c>
      <c r="AX18" s="36">
        <f t="shared" si="16"/>
        <v>0.56453743866666684</v>
      </c>
      <c r="AZ18" s="17" t="s">
        <v>47</v>
      </c>
      <c r="BA18" s="63" t="s">
        <v>116</v>
      </c>
      <c r="BB18" s="11">
        <f>(($I14+$I18)/3)*(1+$B$4)^8</f>
        <v>3.4154515039333346</v>
      </c>
      <c r="BC18" s="11">
        <f>BB18*(1.2)+MAX(BB8,BB14)</f>
        <v>7.5139933086533368</v>
      </c>
      <c r="BD18" s="2">
        <v>10</v>
      </c>
      <c r="BE18" s="36">
        <f t="shared" si="17"/>
        <v>0.75139933086533373</v>
      </c>
    </row>
    <row r="19" spans="2:57" x14ac:dyDescent="0.3">
      <c r="B19" s="19">
        <v>12</v>
      </c>
      <c r="C19" s="20">
        <v>42672</v>
      </c>
      <c r="D19" s="19" t="s">
        <v>44</v>
      </c>
      <c r="E19" s="6" t="s">
        <v>24</v>
      </c>
      <c r="F19" s="6"/>
      <c r="G19" s="6"/>
      <c r="H19" s="6"/>
      <c r="I19" s="6"/>
      <c r="J19" s="6"/>
      <c r="K19" s="6"/>
      <c r="L19" s="15" t="s">
        <v>43</v>
      </c>
      <c r="M19" s="19"/>
      <c r="N19" s="6"/>
      <c r="O19" s="6"/>
      <c r="P19" s="76"/>
      <c r="Q19" s="19"/>
      <c r="R19" s="6"/>
      <c r="S19" s="6"/>
      <c r="T19" s="37"/>
      <c r="U19" s="19"/>
      <c r="V19" s="6"/>
      <c r="W19" s="60"/>
      <c r="X19" s="60"/>
      <c r="Y19" s="6"/>
      <c r="Z19" s="37"/>
      <c r="AA19" s="19"/>
      <c r="AB19" s="84"/>
      <c r="AC19" s="60"/>
      <c r="AD19" s="60"/>
      <c r="AE19" s="6"/>
      <c r="AF19" s="37"/>
      <c r="AG19" s="19"/>
      <c r="AH19" s="84"/>
      <c r="AI19" s="60"/>
      <c r="AJ19" s="60"/>
      <c r="AK19" s="6"/>
      <c r="AL19" s="37"/>
      <c r="AM19" s="19"/>
      <c r="AN19" s="84"/>
      <c r="AO19" s="60"/>
      <c r="AP19" s="60"/>
      <c r="AQ19" s="6"/>
      <c r="AR19" s="37"/>
      <c r="AS19" s="19"/>
      <c r="AT19" s="84"/>
      <c r="AU19" s="60"/>
      <c r="AV19" s="60"/>
      <c r="AW19" s="6"/>
      <c r="AX19" s="37"/>
      <c r="AZ19" s="19"/>
      <c r="BA19" s="84"/>
      <c r="BB19" s="60"/>
      <c r="BC19" s="60"/>
      <c r="BD19" s="6"/>
      <c r="BE19" s="37"/>
    </row>
    <row r="20" spans="2:57" x14ac:dyDescent="0.3">
      <c r="B20" s="17">
        <v>13</v>
      </c>
      <c r="C20" s="18">
        <v>42673</v>
      </c>
      <c r="D20" s="17" t="s">
        <v>48</v>
      </c>
      <c r="E20" s="2" t="s">
        <v>25</v>
      </c>
      <c r="F20" s="2">
        <v>10</v>
      </c>
      <c r="G20" s="2" t="s">
        <v>54</v>
      </c>
      <c r="H20" s="2" t="s">
        <v>78</v>
      </c>
      <c r="I20" s="2">
        <v>0.82</v>
      </c>
      <c r="J20" s="11">
        <f>I20*(1.2)+I36</f>
        <v>1.2839999999999998</v>
      </c>
      <c r="K20" s="9">
        <f t="shared" ref="K20:K29" si="18">J20/F20</f>
        <v>0.12839999999999999</v>
      </c>
      <c r="L20" s="14" t="s">
        <v>96</v>
      </c>
      <c r="M20" s="17" t="s">
        <v>48</v>
      </c>
      <c r="N20" s="2" t="s">
        <v>120</v>
      </c>
      <c r="O20" s="2">
        <v>10</v>
      </c>
      <c r="P20" s="74">
        <f t="shared" ref="P20:P29" si="19">J20/O20</f>
        <v>0.12839999999999999</v>
      </c>
      <c r="Q20" s="17" t="s">
        <v>48</v>
      </c>
      <c r="R20" s="2" t="s">
        <v>120</v>
      </c>
      <c r="S20" s="2">
        <v>10</v>
      </c>
      <c r="T20" s="36">
        <f>J20/S20</f>
        <v>0.12839999999999999</v>
      </c>
      <c r="U20" s="17" t="s">
        <v>48</v>
      </c>
      <c r="V20" s="2" t="s">
        <v>120</v>
      </c>
      <c r="W20" s="11">
        <f>$I20*(1+$B$4)^1</f>
        <v>0.90200000000000002</v>
      </c>
      <c r="X20" s="11">
        <f>W20*(1.2)+W36</f>
        <v>1.4124000000000001</v>
      </c>
      <c r="Y20" s="2">
        <v>10</v>
      </c>
      <c r="Z20" s="36">
        <f t="shared" si="2"/>
        <v>0.14124</v>
      </c>
      <c r="AA20" s="17" t="s">
        <v>48</v>
      </c>
      <c r="AB20" s="63" t="s">
        <v>120</v>
      </c>
      <c r="AC20" s="11">
        <f>$I20*(1+$B$4)^2</f>
        <v>0.99220000000000008</v>
      </c>
      <c r="AD20" s="11">
        <f>AC20*(1.2)+AC36</f>
        <v>1.5536400000000001</v>
      </c>
      <c r="AE20" s="2">
        <v>10</v>
      </c>
      <c r="AF20" s="36">
        <f t="shared" ref="AF20:AF23" si="20">AD20/AE20</f>
        <v>0.155364</v>
      </c>
      <c r="AG20" s="17" t="s">
        <v>48</v>
      </c>
      <c r="AH20" s="63" t="s">
        <v>120</v>
      </c>
      <c r="AI20" s="11">
        <f>$I20*(1+$B$4)^3</f>
        <v>1.0914200000000003</v>
      </c>
      <c r="AJ20" s="11">
        <f>AI20*(1.2)+AI36</f>
        <v>1.7090040000000002</v>
      </c>
      <c r="AK20" s="2">
        <v>10</v>
      </c>
      <c r="AL20" s="36">
        <f t="shared" ref="AL20:AL23" si="21">AJ20/AK20</f>
        <v>0.17090040000000001</v>
      </c>
      <c r="AM20" s="17" t="s">
        <v>48</v>
      </c>
      <c r="AN20" s="63" t="s">
        <v>120</v>
      </c>
      <c r="AO20" s="11">
        <f>$I20*(1+$B$4)^4</f>
        <v>1.2005620000000004</v>
      </c>
      <c r="AP20" s="11">
        <f>AO20*(1.2)+AO36</f>
        <v>1.8799044000000005</v>
      </c>
      <c r="AQ20" s="2">
        <v>10</v>
      </c>
      <c r="AR20" s="36">
        <f t="shared" ref="AR20:AR23" si="22">AP20/AQ20</f>
        <v>0.18799044000000004</v>
      </c>
      <c r="AS20" s="17" t="s">
        <v>48</v>
      </c>
      <c r="AT20" s="63" t="s">
        <v>120</v>
      </c>
      <c r="AU20" s="11">
        <f>$I20*(1+$B$4)^5</f>
        <v>1.3206182000000004</v>
      </c>
      <c r="AV20" s="11">
        <f>AU20*(1.2)+AU36</f>
        <v>2.0678948400000006</v>
      </c>
      <c r="AW20" s="2">
        <v>10</v>
      </c>
      <c r="AX20" s="36">
        <f t="shared" ref="AX20:AX23" si="23">AV20/AW20</f>
        <v>0.20678948400000005</v>
      </c>
      <c r="AZ20" s="17" t="s">
        <v>48</v>
      </c>
      <c r="BA20" s="63" t="s">
        <v>120</v>
      </c>
      <c r="BB20" s="11">
        <f>$I20*(1+$B$4)^8</f>
        <v>1.7577428242000008</v>
      </c>
      <c r="BC20" s="11">
        <f>BB20*(1.2)+BB36</f>
        <v>2.7523680320400015</v>
      </c>
      <c r="BD20" s="2">
        <v>10</v>
      </c>
      <c r="BE20" s="36">
        <f t="shared" ref="BE20:BE22" si="24">BC20/BD20</f>
        <v>0.27523680320400012</v>
      </c>
    </row>
    <row r="21" spans="2:57" x14ac:dyDescent="0.3">
      <c r="B21" s="17">
        <v>14</v>
      </c>
      <c r="C21" s="18">
        <v>42674</v>
      </c>
      <c r="D21" s="17" t="s">
        <v>49</v>
      </c>
      <c r="E21" s="2" t="s">
        <v>27</v>
      </c>
      <c r="F21" s="2">
        <v>10</v>
      </c>
      <c r="G21" s="2" t="s">
        <v>67</v>
      </c>
      <c r="H21" s="2" t="s">
        <v>74</v>
      </c>
      <c r="I21" s="2">
        <v>6.71</v>
      </c>
      <c r="J21" s="11">
        <f>I21*(1.2)</f>
        <v>8.0519999999999996</v>
      </c>
      <c r="K21" s="13">
        <f t="shared" si="18"/>
        <v>0.80519999999999992</v>
      </c>
      <c r="L21" s="14" t="s">
        <v>96</v>
      </c>
      <c r="M21" s="17" t="s">
        <v>49</v>
      </c>
      <c r="N21" s="2" t="s">
        <v>117</v>
      </c>
      <c r="O21" s="2">
        <v>10</v>
      </c>
      <c r="P21" s="78">
        <f t="shared" si="19"/>
        <v>0.80519999999999992</v>
      </c>
      <c r="Q21" s="56" t="s">
        <v>49</v>
      </c>
      <c r="R21" s="2" t="s">
        <v>117</v>
      </c>
      <c r="S21" s="63">
        <v>10</v>
      </c>
      <c r="T21" s="64">
        <f>($J$21/2)/S21</f>
        <v>0.40259999999999996</v>
      </c>
      <c r="U21" s="87" t="s">
        <v>49</v>
      </c>
      <c r="V21" s="63" t="s">
        <v>117</v>
      </c>
      <c r="W21" s="86">
        <f>($I21/3)*(1+$B$4)^1</f>
        <v>2.4603333333333337</v>
      </c>
      <c r="X21" s="86">
        <f>W21*(1.2)+MAX(W23,W28)</f>
        <v>5.4127333333333336</v>
      </c>
      <c r="Y21" s="63">
        <v>10</v>
      </c>
      <c r="Z21" s="88">
        <f t="shared" si="2"/>
        <v>0.54127333333333338</v>
      </c>
      <c r="AA21" s="87" t="s">
        <v>49</v>
      </c>
      <c r="AB21" s="63" t="s">
        <v>117</v>
      </c>
      <c r="AC21" s="11">
        <f>($I21/3)*(1+$B$4)^2</f>
        <v>2.7063666666666673</v>
      </c>
      <c r="AD21" s="86">
        <f>AC21*(1.2)+MAX(AC23,AC28)</f>
        <v>5.9540066666666682</v>
      </c>
      <c r="AE21" s="2">
        <v>10</v>
      </c>
      <c r="AF21" s="36">
        <f t="shared" si="20"/>
        <v>0.5954006666666668</v>
      </c>
      <c r="AG21" s="87" t="s">
        <v>49</v>
      </c>
      <c r="AH21" s="63" t="s">
        <v>117</v>
      </c>
      <c r="AI21" s="11">
        <f>($I21/3)*(1+$B$4)^3</f>
        <v>2.9770033333333346</v>
      </c>
      <c r="AJ21" s="86">
        <f>AI21*(1.2)+MAX(AI23,AI28)</f>
        <v>6.5494073333333365</v>
      </c>
      <c r="AK21" s="2">
        <v>10</v>
      </c>
      <c r="AL21" s="36">
        <f t="shared" si="21"/>
        <v>0.65494073333333369</v>
      </c>
      <c r="AM21" s="87" t="s">
        <v>49</v>
      </c>
      <c r="AN21" s="63" t="s">
        <v>117</v>
      </c>
      <c r="AO21" s="11">
        <f>($I21/3)*(1+$B$4)^4</f>
        <v>3.2747036666666678</v>
      </c>
      <c r="AP21" s="86">
        <f>AO21*(1.2)++MAX(AO23,AO28)</f>
        <v>7.204348066666669</v>
      </c>
      <c r="AQ21" s="2">
        <v>10</v>
      </c>
      <c r="AR21" s="36">
        <f t="shared" si="22"/>
        <v>0.72043480666666693</v>
      </c>
      <c r="AS21" s="87" t="s">
        <v>49</v>
      </c>
      <c r="AT21" s="63" t="s">
        <v>117</v>
      </c>
      <c r="AU21" s="11">
        <f>($I21/3)*(1+$B$4)^5</f>
        <v>3.602174033333335</v>
      </c>
      <c r="AV21" s="86">
        <f>AU21*(1.2)++MAX(AU23,AU28)</f>
        <v>7.9247828733333368</v>
      </c>
      <c r="AW21" s="2">
        <v>10</v>
      </c>
      <c r="AX21" s="36">
        <f t="shared" si="23"/>
        <v>0.7924782873333337</v>
      </c>
      <c r="AZ21" s="87" t="s">
        <v>49</v>
      </c>
      <c r="BA21" s="63" t="s">
        <v>117</v>
      </c>
      <c r="BB21" s="11">
        <f>$I21*(1+$B$4)^8</f>
        <v>14.383480915100007</v>
      </c>
      <c r="BC21" s="86">
        <f>BB21*(1.2)</f>
        <v>17.260177098120007</v>
      </c>
      <c r="BD21" s="2">
        <v>100</v>
      </c>
      <c r="BE21" s="36">
        <f t="shared" si="24"/>
        <v>0.17260177098120008</v>
      </c>
    </row>
    <row r="22" spans="2:57" x14ac:dyDescent="0.3">
      <c r="B22" s="17">
        <v>15</v>
      </c>
      <c r="C22" s="18">
        <v>42675</v>
      </c>
      <c r="D22" s="17" t="s">
        <v>39</v>
      </c>
      <c r="E22" s="2" t="s">
        <v>28</v>
      </c>
      <c r="F22" s="2">
        <v>10</v>
      </c>
      <c r="G22" s="2" t="s">
        <v>55</v>
      </c>
      <c r="H22" s="2" t="s">
        <v>79</v>
      </c>
      <c r="I22" s="2">
        <v>5.68</v>
      </c>
      <c r="J22" s="11">
        <f>I22*(1.2)+MAX(I23,I38/2)</f>
        <v>12.456</v>
      </c>
      <c r="K22" s="13">
        <f t="shared" si="18"/>
        <v>1.2456</v>
      </c>
      <c r="L22" s="14" t="s">
        <v>96</v>
      </c>
      <c r="M22" s="17" t="s">
        <v>39</v>
      </c>
      <c r="N22" s="2" t="s">
        <v>113</v>
      </c>
      <c r="O22" s="2">
        <v>10</v>
      </c>
      <c r="P22" s="78">
        <f t="shared" si="19"/>
        <v>1.2456</v>
      </c>
      <c r="Q22" s="69" t="s">
        <v>39</v>
      </c>
      <c r="R22" s="41" t="s">
        <v>106</v>
      </c>
      <c r="S22" s="41">
        <v>40</v>
      </c>
      <c r="T22" s="62">
        <f>(J22+J23)/S22</f>
        <v>0.62159999999999993</v>
      </c>
      <c r="U22" s="56" t="s">
        <v>39</v>
      </c>
      <c r="V22" s="63" t="s">
        <v>106</v>
      </c>
      <c r="W22" s="11">
        <f>($I22+$I23)*(1+$B$4)^1</f>
        <v>12.452000000000002</v>
      </c>
      <c r="X22" s="11">
        <f>W22*(1.2)+W38</f>
        <v>21.1464</v>
      </c>
      <c r="Y22" s="2">
        <v>40</v>
      </c>
      <c r="Z22" s="36">
        <f t="shared" si="2"/>
        <v>0.52866000000000002</v>
      </c>
      <c r="AA22" s="87" t="s">
        <v>39</v>
      </c>
      <c r="AB22" s="63" t="s">
        <v>106</v>
      </c>
      <c r="AC22" s="86">
        <f>($I22+$I23)*(1+$B$4)^2</f>
        <v>13.697200000000002</v>
      </c>
      <c r="AD22" s="86">
        <f>AC22*(1.2)+AC38</f>
        <v>23.261040000000001</v>
      </c>
      <c r="AE22" s="63">
        <v>40</v>
      </c>
      <c r="AF22" s="88">
        <f t="shared" si="20"/>
        <v>0.58152599999999999</v>
      </c>
      <c r="AG22" s="17" t="s">
        <v>39</v>
      </c>
      <c r="AH22" s="63" t="s">
        <v>106</v>
      </c>
      <c r="AI22" s="11">
        <f>($I22+$I23)*(1+$B$4)^3</f>
        <v>15.066920000000005</v>
      </c>
      <c r="AJ22" s="11">
        <f>AI22*(1.2)+AI38</f>
        <v>25.587144000000009</v>
      </c>
      <c r="AK22" s="2">
        <v>40</v>
      </c>
      <c r="AL22" s="36">
        <f t="shared" si="21"/>
        <v>0.63967860000000021</v>
      </c>
      <c r="AM22" s="17" t="s">
        <v>39</v>
      </c>
      <c r="AN22" s="63" t="s">
        <v>106</v>
      </c>
      <c r="AO22" s="11">
        <f>($I22+$I23)*(1+$B$4)^4</f>
        <v>16.573612000000004</v>
      </c>
      <c r="AP22" s="11">
        <f>AO22*(1.2)+AO38</f>
        <v>28.145858400000009</v>
      </c>
      <c r="AQ22" s="2">
        <v>40</v>
      </c>
      <c r="AR22" s="36">
        <f t="shared" si="22"/>
        <v>0.7036464600000002</v>
      </c>
      <c r="AS22" s="17" t="s">
        <v>39</v>
      </c>
      <c r="AT22" s="63" t="s">
        <v>106</v>
      </c>
      <c r="AU22" s="11">
        <f>($I22+$I23)*(1+$B$4)^5</f>
        <v>18.230973200000008</v>
      </c>
      <c r="AV22" s="11">
        <f>AU22*(1.2)+AU38</f>
        <v>30.960444240000012</v>
      </c>
      <c r="AW22" s="2">
        <v>40</v>
      </c>
      <c r="AX22" s="36">
        <f t="shared" si="23"/>
        <v>0.77401110600000034</v>
      </c>
      <c r="AZ22" s="68" t="s">
        <v>39</v>
      </c>
      <c r="BA22" s="41" t="s">
        <v>106</v>
      </c>
      <c r="BB22" s="73">
        <f>($I22+$I23)*(1+$B$4)^8</f>
        <v>24.265425329200013</v>
      </c>
      <c r="BC22" s="73">
        <f>BB22*(1.2)+BB38</f>
        <v>41.208351283440024</v>
      </c>
      <c r="BD22" s="41">
        <v>100</v>
      </c>
      <c r="BE22" s="62">
        <f t="shared" si="24"/>
        <v>0.41208351283440026</v>
      </c>
    </row>
    <row r="23" spans="2:57" x14ac:dyDescent="0.3">
      <c r="B23" s="17">
        <v>16</v>
      </c>
      <c r="C23" s="18">
        <v>42676</v>
      </c>
      <c r="D23" s="17" t="s">
        <v>39</v>
      </c>
      <c r="E23" s="2" t="s">
        <v>29</v>
      </c>
      <c r="F23" s="2">
        <v>10</v>
      </c>
      <c r="G23" s="2" t="s">
        <v>55</v>
      </c>
      <c r="H23" s="2" t="s">
        <v>79</v>
      </c>
      <c r="I23" s="2">
        <v>5.64</v>
      </c>
      <c r="J23" s="11">
        <f>I23*(1.2)+MAX(I23,I38/2)</f>
        <v>12.407999999999999</v>
      </c>
      <c r="K23" s="13">
        <f t="shared" si="18"/>
        <v>1.2407999999999999</v>
      </c>
      <c r="L23" s="14" t="s">
        <v>96</v>
      </c>
      <c r="M23" s="17" t="s">
        <v>39</v>
      </c>
      <c r="N23" s="2" t="s">
        <v>114</v>
      </c>
      <c r="O23" s="2">
        <v>10</v>
      </c>
      <c r="P23" s="78">
        <f t="shared" si="19"/>
        <v>1.2407999999999999</v>
      </c>
      <c r="Q23" s="65" t="s">
        <v>107</v>
      </c>
      <c r="R23" s="66" t="s">
        <v>114</v>
      </c>
      <c r="S23" s="66">
        <v>10</v>
      </c>
      <c r="T23" s="72">
        <f>(J26/2)/S23</f>
        <v>0.75009999999999999</v>
      </c>
      <c r="U23" s="65" t="s">
        <v>124</v>
      </c>
      <c r="V23" s="66" t="s">
        <v>114</v>
      </c>
      <c r="W23" s="89">
        <f>($I21/3)*(1+$B$4)^1</f>
        <v>2.4603333333333337</v>
      </c>
      <c r="X23" s="89">
        <f>W23*(1.2)+MAX(W21,W28)</f>
        <v>5.4127333333333336</v>
      </c>
      <c r="Y23" s="66">
        <v>10</v>
      </c>
      <c r="Z23" s="72">
        <f t="shared" ref="Z23" si="25">X23/Y23</f>
        <v>0.54127333333333338</v>
      </c>
      <c r="AA23" s="87" t="s">
        <v>49</v>
      </c>
      <c r="AB23" s="63" t="s">
        <v>114</v>
      </c>
      <c r="AC23" s="86">
        <f>($I21/3)*(1+$B$4)^2</f>
        <v>2.7063666666666673</v>
      </c>
      <c r="AD23" s="86">
        <f>AC23*(1.2)+MAX(AC21,AC28)</f>
        <v>5.9540066666666682</v>
      </c>
      <c r="AE23" s="63">
        <v>10</v>
      </c>
      <c r="AF23" s="88">
        <f t="shared" si="20"/>
        <v>0.5954006666666668</v>
      </c>
      <c r="AG23" s="87" t="s">
        <v>49</v>
      </c>
      <c r="AH23" s="63" t="s">
        <v>114</v>
      </c>
      <c r="AI23" s="86">
        <f>($I21/3)*(1+$B$4)^3</f>
        <v>2.9770033333333346</v>
      </c>
      <c r="AJ23" s="86">
        <f>AI23*(1.2)+MAX(AI21,AI28)</f>
        <v>6.5494073333333365</v>
      </c>
      <c r="AK23" s="63">
        <v>10</v>
      </c>
      <c r="AL23" s="88">
        <f t="shared" si="21"/>
        <v>0.65494073333333369</v>
      </c>
      <c r="AM23" s="87" t="s">
        <v>49</v>
      </c>
      <c r="AN23" s="63" t="s">
        <v>114</v>
      </c>
      <c r="AO23" s="86">
        <f>($I21/3)*(1+$B$4)^4</f>
        <v>3.2747036666666678</v>
      </c>
      <c r="AP23" s="86">
        <f>AO23*(1.2)+MAX(AO21,AO28)</f>
        <v>7.204348066666669</v>
      </c>
      <c r="AQ23" s="63">
        <v>10</v>
      </c>
      <c r="AR23" s="88">
        <f t="shared" si="22"/>
        <v>0.72043480666666693</v>
      </c>
      <c r="AS23" s="87" t="s">
        <v>49</v>
      </c>
      <c r="AT23" s="63" t="s">
        <v>114</v>
      </c>
      <c r="AU23" s="86">
        <f>($I21/3)*(1+$B$4)^5</f>
        <v>3.602174033333335</v>
      </c>
      <c r="AV23" s="86">
        <f>AU23*(1.2)+MAX(AU21,AU28)</f>
        <v>7.9247828733333368</v>
      </c>
      <c r="AW23" s="63">
        <v>10</v>
      </c>
      <c r="AX23" s="88">
        <f t="shared" si="23"/>
        <v>0.7924782873333337</v>
      </c>
      <c r="AZ23" s="45" t="s">
        <v>42</v>
      </c>
      <c r="BA23" s="59" t="s">
        <v>114</v>
      </c>
      <c r="BB23" s="59"/>
      <c r="BC23" s="59"/>
      <c r="BD23" s="80" t="s">
        <v>137</v>
      </c>
      <c r="BE23" s="48"/>
    </row>
    <row r="24" spans="2:57" x14ac:dyDescent="0.3">
      <c r="B24" s="17">
        <v>17</v>
      </c>
      <c r="C24" s="18">
        <v>42677</v>
      </c>
      <c r="D24" s="17" t="s">
        <v>46</v>
      </c>
      <c r="E24" s="2" t="s">
        <v>30</v>
      </c>
      <c r="F24" s="2">
        <v>10</v>
      </c>
      <c r="G24" s="2" t="s">
        <v>54</v>
      </c>
      <c r="H24" s="2" t="s">
        <v>77</v>
      </c>
      <c r="I24" s="2">
        <v>4.0599999999999996</v>
      </c>
      <c r="J24" s="11">
        <f>I24*(1.2)+I16</f>
        <v>9.3520000000000003</v>
      </c>
      <c r="K24" s="13">
        <f t="shared" si="18"/>
        <v>0.93520000000000003</v>
      </c>
      <c r="L24" s="14" t="s">
        <v>96</v>
      </c>
      <c r="M24" s="17" t="s">
        <v>46</v>
      </c>
      <c r="N24" s="2" t="s">
        <v>129</v>
      </c>
      <c r="O24" s="2">
        <v>10</v>
      </c>
      <c r="P24" s="78">
        <f t="shared" si="19"/>
        <v>0.93520000000000003</v>
      </c>
      <c r="Q24" s="68" t="s">
        <v>46</v>
      </c>
      <c r="R24" s="41" t="s">
        <v>129</v>
      </c>
      <c r="S24" s="41">
        <v>25</v>
      </c>
      <c r="T24" s="62">
        <f>J24/S24</f>
        <v>0.37408000000000002</v>
      </c>
      <c r="U24" s="17" t="s">
        <v>46</v>
      </c>
      <c r="V24" s="2" t="s">
        <v>129</v>
      </c>
      <c r="W24" s="11">
        <f>$I24*(1+$B$4)^1</f>
        <v>4.4660000000000002</v>
      </c>
      <c r="X24" s="11">
        <f>W24*(1.2)+W16</f>
        <v>10.287200000000002</v>
      </c>
      <c r="Y24" s="2">
        <v>25</v>
      </c>
      <c r="Z24" s="36">
        <f t="shared" si="2"/>
        <v>0.41148800000000008</v>
      </c>
      <c r="AA24" s="87" t="s">
        <v>46</v>
      </c>
      <c r="AB24" s="63" t="s">
        <v>129</v>
      </c>
      <c r="AC24" s="86">
        <f>$I24*(1+$B$4)^2</f>
        <v>4.9126000000000003</v>
      </c>
      <c r="AD24" s="86">
        <f>AC24*(1.2)+AC16</f>
        <v>11.315920000000002</v>
      </c>
      <c r="AE24" s="63">
        <v>25</v>
      </c>
      <c r="AF24" s="88">
        <f t="shared" ref="AF24:AF27" si="26">AD24/AE24</f>
        <v>0.45263680000000006</v>
      </c>
      <c r="AG24" s="17" t="s">
        <v>46</v>
      </c>
      <c r="AH24" s="63" t="s">
        <v>129</v>
      </c>
      <c r="AI24" s="11">
        <f>$I24*(1+$B$4)^3</f>
        <v>5.4038600000000008</v>
      </c>
      <c r="AJ24" s="11">
        <f>AI24*(1.2)+AI16</f>
        <v>12.447512000000003</v>
      </c>
      <c r="AK24" s="2">
        <v>25</v>
      </c>
      <c r="AL24" s="36">
        <f t="shared" ref="AL24:AL27" si="27">AJ24/AK24</f>
        <v>0.49790048000000015</v>
      </c>
      <c r="AM24" s="17" t="s">
        <v>46</v>
      </c>
      <c r="AN24" s="63" t="s">
        <v>129</v>
      </c>
      <c r="AO24" s="11">
        <f>$I24*(1+$B$4)^4</f>
        <v>5.9442460000000015</v>
      </c>
      <c r="AP24" s="11">
        <f>AO24*(1.2)+AO16</f>
        <v>13.692263200000003</v>
      </c>
      <c r="AQ24" s="2">
        <v>25</v>
      </c>
      <c r="AR24" s="36">
        <f t="shared" ref="AR24:AR27" si="28">AP24/AQ24</f>
        <v>0.54769052800000007</v>
      </c>
      <c r="AS24" s="17" t="s">
        <v>46</v>
      </c>
      <c r="AT24" s="63" t="s">
        <v>129</v>
      </c>
      <c r="AU24" s="11">
        <f>$I24*(1+$B$4)^5</f>
        <v>6.5386706000000014</v>
      </c>
      <c r="AV24" s="11">
        <f>AU24*(1.2)+AU16</f>
        <v>15.061489520000006</v>
      </c>
      <c r="AW24" s="2">
        <v>25</v>
      </c>
      <c r="AX24" s="36">
        <f t="shared" ref="AX24:AX27" si="29">AV24/AW24</f>
        <v>0.60245958080000017</v>
      </c>
      <c r="AZ24" s="17" t="s">
        <v>46</v>
      </c>
      <c r="BA24" s="63" t="s">
        <v>129</v>
      </c>
      <c r="BB24" s="11">
        <f>$I24*(1+$B$4)^8</f>
        <v>8.7029705686000032</v>
      </c>
      <c r="BC24" s="11">
        <f>BB24*(1.2)+BB16</f>
        <v>20.046842551120008</v>
      </c>
      <c r="BD24" s="2">
        <v>40</v>
      </c>
      <c r="BE24" s="36">
        <f t="shared" ref="BE24:BE27" si="30">BC24/BD24</f>
        <v>0.50117106377800025</v>
      </c>
    </row>
    <row r="25" spans="2:57" x14ac:dyDescent="0.3">
      <c r="B25" s="17">
        <v>18</v>
      </c>
      <c r="C25" s="18">
        <v>42678</v>
      </c>
      <c r="D25" s="17" t="s">
        <v>45</v>
      </c>
      <c r="E25" s="2" t="s">
        <v>31</v>
      </c>
      <c r="F25" s="2">
        <v>10</v>
      </c>
      <c r="G25" s="2" t="s">
        <v>54</v>
      </c>
      <c r="H25" s="2" t="s">
        <v>80</v>
      </c>
      <c r="I25" s="2">
        <v>5.46</v>
      </c>
      <c r="J25" s="11">
        <f>I25*(1.2)+I27+I15</f>
        <v>13.701999999999998</v>
      </c>
      <c r="K25" s="13">
        <f t="shared" si="18"/>
        <v>1.3701999999999999</v>
      </c>
      <c r="L25" s="14" t="s">
        <v>96</v>
      </c>
      <c r="M25" s="17" t="s">
        <v>45</v>
      </c>
      <c r="N25" s="2" t="s">
        <v>130</v>
      </c>
      <c r="O25" s="2">
        <v>10</v>
      </c>
      <c r="P25" s="78">
        <f t="shared" si="19"/>
        <v>1.3701999999999999</v>
      </c>
      <c r="Q25" s="68" t="s">
        <v>45</v>
      </c>
      <c r="R25" s="41" t="s">
        <v>130</v>
      </c>
      <c r="S25" s="41">
        <v>25</v>
      </c>
      <c r="T25" s="62">
        <f>J25/S25</f>
        <v>0.5480799999999999</v>
      </c>
      <c r="U25" s="17" t="s">
        <v>45</v>
      </c>
      <c r="V25" s="2" t="s">
        <v>130</v>
      </c>
      <c r="W25" s="11">
        <f>$I25*(1+$B$4)^1</f>
        <v>6.0060000000000002</v>
      </c>
      <c r="X25" s="11">
        <f>W25*(1.2)+W27+W15</f>
        <v>15.0182</v>
      </c>
      <c r="Y25" s="2">
        <v>25</v>
      </c>
      <c r="Z25" s="36">
        <f t="shared" si="2"/>
        <v>0.60072800000000004</v>
      </c>
      <c r="AA25" s="87" t="s">
        <v>45</v>
      </c>
      <c r="AB25" s="63" t="s">
        <v>130</v>
      </c>
      <c r="AC25" s="86">
        <f>$I25*(1+$B$4)^2</f>
        <v>6.6066000000000011</v>
      </c>
      <c r="AD25" s="86">
        <f>AC25*(1.2)+AC27+AC15</f>
        <v>16.466020000000004</v>
      </c>
      <c r="AE25" s="63">
        <v>25</v>
      </c>
      <c r="AF25" s="88">
        <f t="shared" si="26"/>
        <v>0.65864080000000014</v>
      </c>
      <c r="AG25" s="17" t="s">
        <v>45</v>
      </c>
      <c r="AH25" s="63" t="s">
        <v>130</v>
      </c>
      <c r="AI25" s="11">
        <f>$I25*(1+$B$4)^3</f>
        <v>7.2672600000000021</v>
      </c>
      <c r="AJ25" s="11">
        <f>AI25*(1.2)+AI27+AI15</f>
        <v>18.058622000000007</v>
      </c>
      <c r="AK25" s="2">
        <v>25</v>
      </c>
      <c r="AL25" s="36">
        <f t="shared" si="27"/>
        <v>0.7223448800000003</v>
      </c>
      <c r="AM25" s="17" t="s">
        <v>45</v>
      </c>
      <c r="AN25" s="63" t="s">
        <v>130</v>
      </c>
      <c r="AO25" s="11">
        <f>$I25*(1+$B$4)^4</f>
        <v>7.9939860000000023</v>
      </c>
      <c r="AP25" s="11">
        <f>AO25*(1.2)+AO27+AO15</f>
        <v>19.810484200000005</v>
      </c>
      <c r="AQ25" s="63">
        <v>25</v>
      </c>
      <c r="AR25" s="36">
        <f t="shared" si="28"/>
        <v>0.79241936800000023</v>
      </c>
      <c r="AS25" s="68" t="s">
        <v>45</v>
      </c>
      <c r="AT25" s="41" t="s">
        <v>148</v>
      </c>
      <c r="AU25" s="73">
        <f>$I25*(1+$B$4)^5</f>
        <v>8.7933846000000031</v>
      </c>
      <c r="AV25" s="73">
        <f>AU25*(1.2)+AU27+AU15</f>
        <v>21.737532620000007</v>
      </c>
      <c r="AW25" s="41">
        <v>40</v>
      </c>
      <c r="AX25" s="62">
        <f t="shared" si="29"/>
        <v>0.54343831550000021</v>
      </c>
      <c r="AZ25" s="17" t="s">
        <v>45</v>
      </c>
      <c r="BA25" s="63" t="s">
        <v>130</v>
      </c>
      <c r="BB25" s="11">
        <f>$I25*(1+$B$4)^8</f>
        <v>11.703994902600005</v>
      </c>
      <c r="BC25" s="11">
        <f>BB25*(1.2)+BB27+BB15</f>
        <v>28.753915917220013</v>
      </c>
      <c r="BD25" s="63">
        <v>40</v>
      </c>
      <c r="BE25" s="36">
        <f t="shared" si="30"/>
        <v>0.7188478979305003</v>
      </c>
    </row>
    <row r="26" spans="2:57" x14ac:dyDescent="0.3">
      <c r="B26" s="17">
        <v>19</v>
      </c>
      <c r="C26" s="18">
        <v>42679</v>
      </c>
      <c r="D26" s="17" t="s">
        <v>50</v>
      </c>
      <c r="E26" s="2" t="s">
        <v>32</v>
      </c>
      <c r="F26" s="2">
        <v>10</v>
      </c>
      <c r="G26" s="2" t="s">
        <v>56</v>
      </c>
      <c r="H26" s="2" t="s">
        <v>74</v>
      </c>
      <c r="I26" s="2">
        <v>6.91</v>
      </c>
      <c r="J26" s="11">
        <f>I26*(1.2)+MAX(I6+I12,I14+I18,I21)</f>
        <v>15.001999999999999</v>
      </c>
      <c r="K26" s="13">
        <f t="shared" si="18"/>
        <v>1.5002</v>
      </c>
      <c r="L26" s="14" t="s">
        <v>96</v>
      </c>
      <c r="M26" s="17" t="s">
        <v>50</v>
      </c>
      <c r="N26" s="2" t="s">
        <v>110</v>
      </c>
      <c r="O26" s="2">
        <v>10</v>
      </c>
      <c r="P26" s="78">
        <f t="shared" si="19"/>
        <v>1.5002</v>
      </c>
      <c r="Q26" s="17" t="s">
        <v>50</v>
      </c>
      <c r="R26" s="2" t="s">
        <v>110</v>
      </c>
      <c r="S26" s="2">
        <v>10</v>
      </c>
      <c r="T26" s="36">
        <f>(J26/2)/S26</f>
        <v>0.75009999999999999</v>
      </c>
      <c r="U26" s="68" t="s">
        <v>50</v>
      </c>
      <c r="V26" s="41" t="s">
        <v>122</v>
      </c>
      <c r="W26" s="73">
        <f>$I26*(1+$B$4)^1</f>
        <v>7.6010000000000009</v>
      </c>
      <c r="X26" s="73">
        <f>W26*(1.2)+MAX(W6+W12,W14+W18,W21+W23+W28)</f>
        <v>16.502200000000002</v>
      </c>
      <c r="Y26" s="41">
        <v>100</v>
      </c>
      <c r="Z26" s="62">
        <f t="shared" si="2"/>
        <v>0.16502200000000003</v>
      </c>
      <c r="AA26" s="87" t="s">
        <v>50</v>
      </c>
      <c r="AB26" s="63" t="s">
        <v>122</v>
      </c>
      <c r="AC26" s="86">
        <f>$I26*(1+$B$4)^2</f>
        <v>8.3611000000000022</v>
      </c>
      <c r="AD26" s="86">
        <f>AC26*(1.2)+MAX(AC6+AC12,AC14+AC18,AC21+AC23+AC28)</f>
        <v>18.152420000000003</v>
      </c>
      <c r="AE26" s="63">
        <v>100</v>
      </c>
      <c r="AF26" s="88">
        <f t="shared" si="26"/>
        <v>0.18152420000000002</v>
      </c>
      <c r="AG26" s="17" t="s">
        <v>50</v>
      </c>
      <c r="AH26" s="63" t="s">
        <v>122</v>
      </c>
      <c r="AI26" s="11">
        <f>$I26*(1+$B$4)^3</f>
        <v>9.1972100000000037</v>
      </c>
      <c r="AJ26" s="11">
        <f>AI26*(1.2)+MAX(AI12,AI14+AI18,AI21+AI23+AI28)</f>
        <v>19.967662000000008</v>
      </c>
      <c r="AK26" s="2">
        <v>100</v>
      </c>
      <c r="AL26" s="36">
        <f t="shared" si="27"/>
        <v>0.19967662000000008</v>
      </c>
      <c r="AM26" s="17" t="s">
        <v>50</v>
      </c>
      <c r="AN26" s="63" t="s">
        <v>122</v>
      </c>
      <c r="AO26" s="11">
        <f>$I26*(1+$B$4)^4</f>
        <v>10.116931000000003</v>
      </c>
      <c r="AP26" s="11">
        <f>AO26*(1.2)+MAX(AO12,AO14+AO18,AO21+AO23+AO28)</f>
        <v>21.964428200000008</v>
      </c>
      <c r="AQ26" s="63">
        <v>100</v>
      </c>
      <c r="AR26" s="36">
        <f t="shared" si="28"/>
        <v>0.21964428200000008</v>
      </c>
      <c r="AS26" s="17" t="s">
        <v>50</v>
      </c>
      <c r="AT26" s="63" t="s">
        <v>122</v>
      </c>
      <c r="AU26" s="11">
        <f>$I26*(1+$B$4)^5</f>
        <v>11.128624100000003</v>
      </c>
      <c r="AV26" s="11">
        <f>AU26*(1.2)+MAX(AU12,AU14+AU18,AU21+AU23+AU28)</f>
        <v>24.160871020000009</v>
      </c>
      <c r="AW26" s="2">
        <v>100</v>
      </c>
      <c r="AX26" s="36">
        <f t="shared" si="29"/>
        <v>0.24160871020000008</v>
      </c>
      <c r="AZ26" s="17" t="s">
        <v>50</v>
      </c>
      <c r="BA26" s="63" t="s">
        <v>122</v>
      </c>
      <c r="BB26" s="11">
        <f>$I26*(1+$B$4)^8</f>
        <v>14.812198677100008</v>
      </c>
      <c r="BC26" s="11">
        <f>BB26*(1.2)+MAX(BB12,BB14+BB18,BB21)</f>
        <v>32.158119327620014</v>
      </c>
      <c r="BD26" s="2">
        <v>100</v>
      </c>
      <c r="BE26" s="36">
        <f t="shared" si="30"/>
        <v>0.32158119327620016</v>
      </c>
    </row>
    <row r="27" spans="2:57" x14ac:dyDescent="0.3">
      <c r="B27" s="17">
        <v>20</v>
      </c>
      <c r="C27" s="18">
        <v>42680</v>
      </c>
      <c r="D27" s="17" t="s">
        <v>51</v>
      </c>
      <c r="E27" s="2" t="s">
        <v>33</v>
      </c>
      <c r="F27" s="2">
        <v>10</v>
      </c>
      <c r="G27" s="2" t="s">
        <v>54</v>
      </c>
      <c r="H27" s="2" t="s">
        <v>80</v>
      </c>
      <c r="I27" s="2">
        <v>6.61</v>
      </c>
      <c r="J27" s="11">
        <f>I27*(1.2)+I25+I15</f>
        <v>13.931999999999999</v>
      </c>
      <c r="K27" s="13">
        <f t="shared" si="18"/>
        <v>1.3931999999999998</v>
      </c>
      <c r="L27" s="14" t="s">
        <v>96</v>
      </c>
      <c r="M27" s="17" t="s">
        <v>51</v>
      </c>
      <c r="N27" s="2" t="s">
        <v>132</v>
      </c>
      <c r="O27" s="2">
        <v>10</v>
      </c>
      <c r="P27" s="78">
        <f t="shared" si="19"/>
        <v>1.3931999999999998</v>
      </c>
      <c r="Q27" s="68" t="s">
        <v>51</v>
      </c>
      <c r="R27" s="41" t="s">
        <v>132</v>
      </c>
      <c r="S27" s="41">
        <v>25</v>
      </c>
      <c r="T27" s="62">
        <f>J27/S27</f>
        <v>0.55728</v>
      </c>
      <c r="U27" s="17" t="s">
        <v>51</v>
      </c>
      <c r="V27" s="2" t="s">
        <v>132</v>
      </c>
      <c r="W27" s="11">
        <f>$I27*(1+$B$4)^1</f>
        <v>7.2710000000000008</v>
      </c>
      <c r="X27" s="11">
        <f>W27*(1.2)+W25+W15</f>
        <v>15.2712</v>
      </c>
      <c r="Y27" s="2">
        <v>25</v>
      </c>
      <c r="Z27" s="36">
        <f t="shared" si="2"/>
        <v>0.61084800000000006</v>
      </c>
      <c r="AA27" s="87" t="s">
        <v>51</v>
      </c>
      <c r="AB27" s="63" t="s">
        <v>132</v>
      </c>
      <c r="AC27" s="86">
        <f>$I27*(1+$B$4)^2</f>
        <v>7.9981000000000018</v>
      </c>
      <c r="AD27" s="86">
        <f>AC27*(1.2)+AC25+AC15</f>
        <v>16.744320000000002</v>
      </c>
      <c r="AE27" s="63">
        <v>25</v>
      </c>
      <c r="AF27" s="88">
        <f t="shared" si="26"/>
        <v>0.66977280000000006</v>
      </c>
      <c r="AG27" s="17" t="s">
        <v>51</v>
      </c>
      <c r="AH27" s="63" t="s">
        <v>132</v>
      </c>
      <c r="AI27" s="11">
        <f>$I27*(1+$B$4)^3</f>
        <v>8.7979100000000034</v>
      </c>
      <c r="AJ27" s="11">
        <f>AI27*(1.2)+AI25+AI15</f>
        <v>18.364752000000003</v>
      </c>
      <c r="AK27" s="2">
        <v>25</v>
      </c>
      <c r="AL27" s="36">
        <f t="shared" si="27"/>
        <v>0.73459008000000015</v>
      </c>
      <c r="AM27" s="68" t="s">
        <v>51</v>
      </c>
      <c r="AN27" s="41" t="s">
        <v>135</v>
      </c>
      <c r="AO27" s="73">
        <f>$I27*(1+$B$4)^4</f>
        <v>9.6777010000000026</v>
      </c>
      <c r="AP27" s="73">
        <f>AO27*(1.2)+AO25+AO15</f>
        <v>20.147227200000003</v>
      </c>
      <c r="AQ27" s="41">
        <v>40</v>
      </c>
      <c r="AR27" s="62">
        <f t="shared" si="28"/>
        <v>0.5036806800000001</v>
      </c>
      <c r="AS27" s="17" t="s">
        <v>51</v>
      </c>
      <c r="AT27" s="63" t="s">
        <v>135</v>
      </c>
      <c r="AU27" s="11">
        <f>$I27*(1+$B$4)^5</f>
        <v>10.645471100000004</v>
      </c>
      <c r="AV27" s="11">
        <f>AU27*(1.2)+AU25+AU15</f>
        <v>22.107949920000006</v>
      </c>
      <c r="AW27" s="63">
        <v>40</v>
      </c>
      <c r="AX27" s="36">
        <f t="shared" si="29"/>
        <v>0.55269874800000018</v>
      </c>
      <c r="AZ27" s="17" t="s">
        <v>51</v>
      </c>
      <c r="BA27" s="63" t="s">
        <v>132</v>
      </c>
      <c r="BB27" s="11">
        <f>$I27*(1+$B$4)^8</f>
        <v>14.169122034100008</v>
      </c>
      <c r="BC27" s="11">
        <f>BB27*(1.2)+BB25+BB15</f>
        <v>29.246941343520014</v>
      </c>
      <c r="BD27" s="63">
        <v>40</v>
      </c>
      <c r="BE27" s="36">
        <f t="shared" si="30"/>
        <v>0.7311735335880003</v>
      </c>
    </row>
    <row r="28" spans="2:57" x14ac:dyDescent="0.3">
      <c r="B28" s="17">
        <v>21</v>
      </c>
      <c r="C28" s="18">
        <v>42681</v>
      </c>
      <c r="D28" s="17" t="s">
        <v>52</v>
      </c>
      <c r="E28" s="2" t="s">
        <v>34</v>
      </c>
      <c r="F28" s="2">
        <v>10</v>
      </c>
      <c r="G28" s="2" t="s">
        <v>66</v>
      </c>
      <c r="H28" s="2" t="s">
        <v>83</v>
      </c>
      <c r="I28" s="2">
        <v>6.45</v>
      </c>
      <c r="J28" s="11">
        <f>I28*(1.2)+I29</f>
        <v>14.05</v>
      </c>
      <c r="K28" s="13">
        <f t="shared" si="18"/>
        <v>1.405</v>
      </c>
      <c r="L28" s="14" t="s">
        <v>96</v>
      </c>
      <c r="M28" s="17" t="s">
        <v>52</v>
      </c>
      <c r="N28" s="2" t="s">
        <v>127</v>
      </c>
      <c r="O28" s="2">
        <v>10</v>
      </c>
      <c r="P28" s="78">
        <f t="shared" si="19"/>
        <v>1.405</v>
      </c>
      <c r="Q28" s="65" t="s">
        <v>124</v>
      </c>
      <c r="R28" s="66" t="s">
        <v>128</v>
      </c>
      <c r="S28" s="66">
        <v>10</v>
      </c>
      <c r="T28" s="67">
        <f>($J$21/2)/S28</f>
        <v>0.40259999999999996</v>
      </c>
      <c r="U28" s="87" t="s">
        <v>49</v>
      </c>
      <c r="V28" s="63" t="s">
        <v>128</v>
      </c>
      <c r="W28" s="86">
        <f>($I21/3)*(1+$B$4)^1</f>
        <v>2.4603333333333337</v>
      </c>
      <c r="X28" s="86">
        <f>W28*(1.2)+MAX(W21,W23)</f>
        <v>5.4127333333333336</v>
      </c>
      <c r="Y28" s="63">
        <v>10</v>
      </c>
      <c r="Z28" s="88">
        <f t="shared" ref="Z28" si="31">X28/Y28</f>
        <v>0.54127333333333338</v>
      </c>
      <c r="AA28" s="87" t="s">
        <v>49</v>
      </c>
      <c r="AB28" s="63" t="s">
        <v>128</v>
      </c>
      <c r="AC28" s="86">
        <f>($I21/3)*(1+$B$4)^2</f>
        <v>2.7063666666666673</v>
      </c>
      <c r="AD28" s="86">
        <f>AC28*(1.2)+MAX(AC21,AC23)</f>
        <v>5.9540066666666682</v>
      </c>
      <c r="AE28" s="63">
        <v>10</v>
      </c>
      <c r="AF28" s="88">
        <f>AD28/AE28</f>
        <v>0.5954006666666668</v>
      </c>
      <c r="AG28" s="87" t="s">
        <v>49</v>
      </c>
      <c r="AH28" s="63" t="s">
        <v>128</v>
      </c>
      <c r="AI28" s="86">
        <f>($I21/3)*(1+$B$4)^3</f>
        <v>2.9770033333333346</v>
      </c>
      <c r="AJ28" s="86">
        <f>AI28*(1.2)+MAX(AI21,AI23)</f>
        <v>6.5494073333333365</v>
      </c>
      <c r="AK28" s="63">
        <v>10</v>
      </c>
      <c r="AL28" s="88">
        <f>AJ28/AK28</f>
        <v>0.65494073333333369</v>
      </c>
      <c r="AM28" s="87" t="s">
        <v>49</v>
      </c>
      <c r="AN28" s="63" t="s">
        <v>128</v>
      </c>
      <c r="AO28" s="86">
        <f>($I21/3)*(1+$B$4)^4</f>
        <v>3.2747036666666678</v>
      </c>
      <c r="AP28" s="86">
        <f>AO28*(1.2)+MAX(AO21,AO23)</f>
        <v>7.204348066666669</v>
      </c>
      <c r="AQ28" s="63">
        <v>10</v>
      </c>
      <c r="AR28" s="88">
        <f>AP28/AQ28</f>
        <v>0.72043480666666693</v>
      </c>
      <c r="AS28" s="87" t="s">
        <v>49</v>
      </c>
      <c r="AT28" s="63" t="s">
        <v>128</v>
      </c>
      <c r="AU28" s="86">
        <f>($I21/3)*(1+$B$4)^5</f>
        <v>3.602174033333335</v>
      </c>
      <c r="AV28" s="86">
        <f>AU28*(1.2)+MAX(AU21,AU23)</f>
        <v>7.9247828733333368</v>
      </c>
      <c r="AW28" s="63">
        <v>10</v>
      </c>
      <c r="AX28" s="88">
        <f>AV28/AW28</f>
        <v>0.7924782873333337</v>
      </c>
      <c r="AZ28" s="45" t="s">
        <v>42</v>
      </c>
      <c r="BA28" s="59" t="s">
        <v>128</v>
      </c>
      <c r="BB28" s="59"/>
      <c r="BC28" s="59"/>
      <c r="BD28" s="80" t="s">
        <v>137</v>
      </c>
      <c r="BE28" s="48"/>
    </row>
    <row r="29" spans="2:57" x14ac:dyDescent="0.3">
      <c r="B29" s="17">
        <v>22</v>
      </c>
      <c r="C29" s="18">
        <v>42682</v>
      </c>
      <c r="D29" s="17" t="s">
        <v>52</v>
      </c>
      <c r="E29" s="2" t="s">
        <v>35</v>
      </c>
      <c r="F29" s="2">
        <v>10</v>
      </c>
      <c r="G29" s="2" t="s">
        <v>66</v>
      </c>
      <c r="H29" s="2" t="s">
        <v>83</v>
      </c>
      <c r="I29" s="2">
        <v>6.31</v>
      </c>
      <c r="J29" s="11">
        <f>I29*(1.2)+I28</f>
        <v>14.021999999999998</v>
      </c>
      <c r="K29" s="13">
        <f t="shared" si="18"/>
        <v>1.4021999999999999</v>
      </c>
      <c r="L29" s="14" t="s">
        <v>96</v>
      </c>
      <c r="M29" s="17" t="s">
        <v>52</v>
      </c>
      <c r="N29" s="2" t="s">
        <v>128</v>
      </c>
      <c r="O29" s="2">
        <v>10</v>
      </c>
      <c r="P29" s="78">
        <f t="shared" si="19"/>
        <v>1.4021999999999999</v>
      </c>
      <c r="Q29" s="68" t="s">
        <v>52</v>
      </c>
      <c r="R29" s="41" t="s">
        <v>108</v>
      </c>
      <c r="S29" s="41">
        <v>40</v>
      </c>
      <c r="T29" s="62">
        <f>(J28+J29)/S29</f>
        <v>0.70179999999999998</v>
      </c>
      <c r="U29" s="17" t="s">
        <v>52</v>
      </c>
      <c r="V29" s="63" t="s">
        <v>108</v>
      </c>
      <c r="W29" s="11">
        <f>SUM(W30:W33)</f>
        <v>14.036000000000001</v>
      </c>
      <c r="X29" s="11">
        <f>W29*(1.2)</f>
        <v>16.8432</v>
      </c>
      <c r="Y29" s="2">
        <v>40</v>
      </c>
      <c r="Z29" s="36">
        <f>X29/Y29</f>
        <v>0.42108000000000001</v>
      </c>
      <c r="AA29" s="87" t="s">
        <v>52</v>
      </c>
      <c r="AB29" s="63" t="s">
        <v>108</v>
      </c>
      <c r="AC29" s="86">
        <f>SUM(AC30:AC33)</f>
        <v>15.439600000000002</v>
      </c>
      <c r="AD29" s="86">
        <f>AC29*(1.2)</f>
        <v>18.527520000000003</v>
      </c>
      <c r="AE29" s="63">
        <v>40</v>
      </c>
      <c r="AF29" s="88">
        <f>AD29/AE29</f>
        <v>0.46318800000000004</v>
      </c>
      <c r="AG29" s="17" t="s">
        <v>52</v>
      </c>
      <c r="AH29" s="63" t="s">
        <v>108</v>
      </c>
      <c r="AI29" s="11">
        <f>SUM(AI30:AI33)</f>
        <v>16.983560000000004</v>
      </c>
      <c r="AJ29" s="11">
        <f>AI29*(1.2)</f>
        <v>20.380272000000005</v>
      </c>
      <c r="AK29" s="2">
        <v>40</v>
      </c>
      <c r="AL29" s="36">
        <f>AJ29/AK29</f>
        <v>0.50950680000000015</v>
      </c>
      <c r="AM29" s="17" t="s">
        <v>52</v>
      </c>
      <c r="AN29" s="63" t="s">
        <v>108</v>
      </c>
      <c r="AO29" s="11">
        <f>SUM(AO30:AO33)</f>
        <v>18.681916000000008</v>
      </c>
      <c r="AP29" s="11">
        <f>AO29*(1.2)</f>
        <v>22.418299200000011</v>
      </c>
      <c r="AQ29" s="2">
        <v>40</v>
      </c>
      <c r="AR29" s="36">
        <f>AP29/AQ29</f>
        <v>0.56045748000000029</v>
      </c>
      <c r="AS29" s="17" t="s">
        <v>52</v>
      </c>
      <c r="AT29" s="63" t="s">
        <v>108</v>
      </c>
      <c r="AU29" s="11">
        <f>SUM(AU30:AU33)</f>
        <v>20.550107600000008</v>
      </c>
      <c r="AV29" s="11">
        <f>AU29*(1.2)</f>
        <v>24.660129120000008</v>
      </c>
      <c r="AW29" s="2">
        <v>40</v>
      </c>
      <c r="AX29" s="36">
        <f>AV29/AW29</f>
        <v>0.61650322800000024</v>
      </c>
      <c r="AZ29" s="68" t="s">
        <v>52</v>
      </c>
      <c r="BA29" s="41" t="s">
        <v>108</v>
      </c>
      <c r="BB29" s="73">
        <f>SUM(BB30:BB33)</f>
        <v>27.352193215600014</v>
      </c>
      <c r="BC29" s="73">
        <f>BB29*(1.2)</f>
        <v>32.822631858720015</v>
      </c>
      <c r="BD29" s="41">
        <v>100</v>
      </c>
      <c r="BE29" s="62">
        <f>BC29/BD29</f>
        <v>0.32822631858720014</v>
      </c>
    </row>
    <row r="30" spans="2:57" x14ac:dyDescent="0.3">
      <c r="B30" s="30"/>
      <c r="C30" s="31"/>
      <c r="D30" s="30" t="s">
        <v>88</v>
      </c>
      <c r="E30" s="119" t="s">
        <v>84</v>
      </c>
      <c r="F30" s="119"/>
      <c r="G30" s="119" t="s">
        <v>54</v>
      </c>
      <c r="H30" s="119" t="s">
        <v>54</v>
      </c>
      <c r="I30" s="119">
        <v>0.03</v>
      </c>
      <c r="J30" s="120">
        <f>I30*(1.2)</f>
        <v>3.5999999999999997E-2</v>
      </c>
      <c r="K30" s="119" t="s">
        <v>54</v>
      </c>
      <c r="L30" s="122" t="s">
        <v>96</v>
      </c>
      <c r="M30" s="30" t="s">
        <v>88</v>
      </c>
      <c r="N30" s="119" t="s">
        <v>54</v>
      </c>
      <c r="O30" s="119"/>
      <c r="P30" s="123"/>
      <c r="Q30" s="30" t="s">
        <v>88</v>
      </c>
      <c r="R30" s="119" t="s">
        <v>54</v>
      </c>
      <c r="S30" s="119"/>
      <c r="T30" s="124"/>
      <c r="U30" s="30" t="s">
        <v>88</v>
      </c>
      <c r="V30" s="119" t="s">
        <v>54</v>
      </c>
      <c r="W30" s="120">
        <f>$I30*(1+$B$4)^1</f>
        <v>3.3000000000000002E-2</v>
      </c>
      <c r="X30" s="120">
        <f>W30*(1.2)</f>
        <v>3.9600000000000003E-2</v>
      </c>
      <c r="Y30" s="119"/>
      <c r="Z30" s="124"/>
      <c r="AA30" s="126" t="s">
        <v>88</v>
      </c>
      <c r="AB30" s="125" t="s">
        <v>54</v>
      </c>
      <c r="AC30" s="127">
        <f>$I30*(1+$B$4)^2</f>
        <v>3.6300000000000006E-2</v>
      </c>
      <c r="AD30" s="127">
        <f>AC30*(1.2)</f>
        <v>4.3560000000000008E-2</v>
      </c>
      <c r="AE30" s="125"/>
      <c r="AF30" s="128"/>
      <c r="AG30" s="30" t="s">
        <v>88</v>
      </c>
      <c r="AH30" s="125" t="s">
        <v>54</v>
      </c>
      <c r="AI30" s="120">
        <f>$I30*(1+$B$4)^3</f>
        <v>3.9930000000000014E-2</v>
      </c>
      <c r="AJ30" s="120">
        <f>AI30*(1.2)</f>
        <v>4.7916000000000014E-2</v>
      </c>
      <c r="AK30" s="119"/>
      <c r="AL30" s="124"/>
      <c r="AM30" s="30" t="s">
        <v>88</v>
      </c>
      <c r="AN30" s="125" t="s">
        <v>54</v>
      </c>
      <c r="AO30" s="120">
        <f>$I30*(1+$B$4)^4</f>
        <v>4.3923000000000011E-2</v>
      </c>
      <c r="AP30" s="120">
        <f>AO30*(1.2)</f>
        <v>5.2707600000000014E-2</v>
      </c>
      <c r="AQ30" s="119"/>
      <c r="AR30" s="124"/>
      <c r="AS30" s="30" t="s">
        <v>88</v>
      </c>
      <c r="AT30" s="125" t="s">
        <v>54</v>
      </c>
      <c r="AU30" s="120">
        <f>$I30*(1+$B$4)^5</f>
        <v>4.8315300000000012E-2</v>
      </c>
      <c r="AV30" s="120">
        <f>AU30*(1.2)</f>
        <v>5.7978360000000013E-2</v>
      </c>
      <c r="AW30" s="119"/>
      <c r="AX30" s="124"/>
      <c r="AZ30" s="30" t="s">
        <v>88</v>
      </c>
      <c r="BA30" s="125" t="s">
        <v>54</v>
      </c>
      <c r="BB30" s="120">
        <f>$I30*(1+$B$4)^8</f>
        <v>6.4307664300000025E-2</v>
      </c>
      <c r="BC30" s="120">
        <f>BB30*(1.2)</f>
        <v>7.7169197160000022E-2</v>
      </c>
      <c r="BD30" s="119"/>
      <c r="BE30" s="124"/>
    </row>
    <row r="31" spans="2:57" x14ac:dyDescent="0.3">
      <c r="B31" s="30"/>
      <c r="C31" s="31"/>
      <c r="D31" s="30" t="s">
        <v>89</v>
      </c>
      <c r="E31" s="119" t="s">
        <v>85</v>
      </c>
      <c r="F31" s="119"/>
      <c r="G31" s="119" t="s">
        <v>54</v>
      </c>
      <c r="H31" s="119" t="s">
        <v>54</v>
      </c>
      <c r="I31" s="119">
        <v>5.09</v>
      </c>
      <c r="J31" s="120">
        <f>I31*(1.2)</f>
        <v>6.1079999999999997</v>
      </c>
      <c r="K31" s="119" t="s">
        <v>54</v>
      </c>
      <c r="L31" s="122" t="s">
        <v>96</v>
      </c>
      <c r="M31" s="30" t="s">
        <v>89</v>
      </c>
      <c r="N31" s="119" t="s">
        <v>54</v>
      </c>
      <c r="O31" s="119"/>
      <c r="P31" s="123"/>
      <c r="Q31" s="30" t="s">
        <v>89</v>
      </c>
      <c r="R31" s="119" t="s">
        <v>54</v>
      </c>
      <c r="S31" s="119"/>
      <c r="T31" s="124"/>
      <c r="U31" s="30" t="s">
        <v>89</v>
      </c>
      <c r="V31" s="119" t="s">
        <v>54</v>
      </c>
      <c r="W31" s="120">
        <f>$I31*(1+$B$4)^1</f>
        <v>5.5990000000000002</v>
      </c>
      <c r="X31" s="120">
        <f>W31*(1.2)</f>
        <v>6.7187999999999999</v>
      </c>
      <c r="Y31" s="119"/>
      <c r="Z31" s="124"/>
      <c r="AA31" s="30" t="s">
        <v>89</v>
      </c>
      <c r="AB31" s="125" t="s">
        <v>54</v>
      </c>
      <c r="AC31" s="120">
        <f>$I31*(1+$B$4)^2</f>
        <v>6.1589000000000009</v>
      </c>
      <c r="AD31" s="120">
        <f>AC31*(1.2)</f>
        <v>7.3906800000000006</v>
      </c>
      <c r="AE31" s="119"/>
      <c r="AF31" s="124"/>
      <c r="AG31" s="30" t="s">
        <v>89</v>
      </c>
      <c r="AH31" s="125" t="s">
        <v>54</v>
      </c>
      <c r="AI31" s="120">
        <f>$I31*(1+$B$4)^3</f>
        <v>6.7747900000000021</v>
      </c>
      <c r="AJ31" s="120">
        <f>AI31*(1.2)</f>
        <v>8.1297480000000029</v>
      </c>
      <c r="AK31" s="119"/>
      <c r="AL31" s="124"/>
      <c r="AM31" s="30" t="s">
        <v>89</v>
      </c>
      <c r="AN31" s="125" t="s">
        <v>54</v>
      </c>
      <c r="AO31" s="120">
        <f>$I31*(1+$B$4)^4</f>
        <v>7.452269000000002</v>
      </c>
      <c r="AP31" s="120">
        <f>AO31*(1.2)</f>
        <v>8.9427228000000021</v>
      </c>
      <c r="AQ31" s="119"/>
      <c r="AR31" s="124"/>
      <c r="AS31" s="30" t="s">
        <v>89</v>
      </c>
      <c r="AT31" s="125" t="s">
        <v>54</v>
      </c>
      <c r="AU31" s="120">
        <f>$I31*(1+$B$4)^5</f>
        <v>8.1974959000000034</v>
      </c>
      <c r="AV31" s="120">
        <f>AU31*(1.2)</f>
        <v>9.836995080000003</v>
      </c>
      <c r="AW31" s="119"/>
      <c r="AX31" s="124"/>
      <c r="AZ31" s="30" t="s">
        <v>89</v>
      </c>
      <c r="BA31" s="125" t="s">
        <v>54</v>
      </c>
      <c r="BB31" s="120">
        <f>$I31*(1+$B$4)^8</f>
        <v>10.910867042900005</v>
      </c>
      <c r="BC31" s="120">
        <f>BB31*(1.2)</f>
        <v>13.093040451480006</v>
      </c>
      <c r="BD31" s="119"/>
      <c r="BE31" s="124"/>
    </row>
    <row r="32" spans="2:57" x14ac:dyDescent="0.3">
      <c r="B32" s="30"/>
      <c r="C32" s="31"/>
      <c r="D32" s="30" t="s">
        <v>90</v>
      </c>
      <c r="E32" s="119" t="s">
        <v>86</v>
      </c>
      <c r="F32" s="119"/>
      <c r="G32" s="119" t="s">
        <v>54</v>
      </c>
      <c r="H32" s="119" t="s">
        <v>54</v>
      </c>
      <c r="I32" s="119">
        <v>4.17</v>
      </c>
      <c r="J32" s="120">
        <f>I32*(1.2)</f>
        <v>5.0039999999999996</v>
      </c>
      <c r="K32" s="119" t="s">
        <v>54</v>
      </c>
      <c r="L32" s="122" t="s">
        <v>96</v>
      </c>
      <c r="M32" s="30" t="s">
        <v>90</v>
      </c>
      <c r="N32" s="119" t="s">
        <v>54</v>
      </c>
      <c r="O32" s="119"/>
      <c r="P32" s="123"/>
      <c r="Q32" s="30" t="s">
        <v>90</v>
      </c>
      <c r="R32" s="119" t="s">
        <v>54</v>
      </c>
      <c r="S32" s="119"/>
      <c r="T32" s="124"/>
      <c r="U32" s="30" t="s">
        <v>90</v>
      </c>
      <c r="V32" s="119" t="s">
        <v>54</v>
      </c>
      <c r="W32" s="120">
        <f>$I32*(1+$B$4)^1</f>
        <v>4.5870000000000006</v>
      </c>
      <c r="X32" s="120">
        <f>W32*(1.2)</f>
        <v>5.5044000000000004</v>
      </c>
      <c r="Y32" s="119"/>
      <c r="Z32" s="124"/>
      <c r="AA32" s="30" t="s">
        <v>90</v>
      </c>
      <c r="AB32" s="125" t="s">
        <v>54</v>
      </c>
      <c r="AC32" s="120">
        <f>$I32*(1+$B$4)^2</f>
        <v>5.045700000000001</v>
      </c>
      <c r="AD32" s="120">
        <f>AC32*(1.2)</f>
        <v>6.0548400000000013</v>
      </c>
      <c r="AE32" s="119"/>
      <c r="AF32" s="124"/>
      <c r="AG32" s="30" t="s">
        <v>90</v>
      </c>
      <c r="AH32" s="125" t="s">
        <v>54</v>
      </c>
      <c r="AI32" s="120">
        <f>$I32*(1+$B$4)^3</f>
        <v>5.550270000000002</v>
      </c>
      <c r="AJ32" s="120">
        <f>AI32*(1.2)</f>
        <v>6.6603240000000019</v>
      </c>
      <c r="AK32" s="119"/>
      <c r="AL32" s="124"/>
      <c r="AM32" s="30" t="s">
        <v>90</v>
      </c>
      <c r="AN32" s="125" t="s">
        <v>54</v>
      </c>
      <c r="AO32" s="120">
        <f>$I32*(1+$B$4)^4</f>
        <v>6.105297000000002</v>
      </c>
      <c r="AP32" s="120">
        <f>AO32*(1.2)</f>
        <v>7.3263564000000017</v>
      </c>
      <c r="AQ32" s="119"/>
      <c r="AR32" s="124"/>
      <c r="AS32" s="30" t="s">
        <v>90</v>
      </c>
      <c r="AT32" s="125" t="s">
        <v>54</v>
      </c>
      <c r="AU32" s="120">
        <f>$I32*(1+$B$4)^5</f>
        <v>6.7158267000000018</v>
      </c>
      <c r="AV32" s="120">
        <f>AU32*(1.2)</f>
        <v>8.0589920400000015</v>
      </c>
      <c r="AW32" s="119"/>
      <c r="AX32" s="124"/>
      <c r="AZ32" s="30" t="s">
        <v>90</v>
      </c>
      <c r="BA32" s="125" t="s">
        <v>54</v>
      </c>
      <c r="BB32" s="120">
        <f>$I32*(1+$B$4)^8</f>
        <v>8.9387653377000049</v>
      </c>
      <c r="BC32" s="120">
        <f>BB32*(1.2)</f>
        <v>10.726518405240006</v>
      </c>
      <c r="BD32" s="119"/>
      <c r="BE32" s="124"/>
    </row>
    <row r="33" spans="2:57" x14ac:dyDescent="0.3">
      <c r="B33" s="30"/>
      <c r="C33" s="31"/>
      <c r="D33" s="30" t="s">
        <v>91</v>
      </c>
      <c r="E33" s="119" t="s">
        <v>87</v>
      </c>
      <c r="F33" s="119"/>
      <c r="G33" s="119" t="s">
        <v>54</v>
      </c>
      <c r="H33" s="119" t="s">
        <v>54</v>
      </c>
      <c r="I33" s="119">
        <v>3.47</v>
      </c>
      <c r="J33" s="120">
        <f>I33*(1.2)</f>
        <v>4.1639999999999997</v>
      </c>
      <c r="K33" s="119" t="s">
        <v>54</v>
      </c>
      <c r="L33" s="122" t="s">
        <v>96</v>
      </c>
      <c r="M33" s="30" t="s">
        <v>91</v>
      </c>
      <c r="N33" s="119" t="s">
        <v>54</v>
      </c>
      <c r="O33" s="119"/>
      <c r="P33" s="123"/>
      <c r="Q33" s="30" t="s">
        <v>91</v>
      </c>
      <c r="R33" s="119" t="s">
        <v>54</v>
      </c>
      <c r="S33" s="119"/>
      <c r="T33" s="124"/>
      <c r="U33" s="30" t="s">
        <v>91</v>
      </c>
      <c r="V33" s="119" t="s">
        <v>54</v>
      </c>
      <c r="W33" s="120">
        <f>$I33*(1+$B$4)^1</f>
        <v>3.8170000000000006</v>
      </c>
      <c r="X33" s="120">
        <f>W33*(1.2)</f>
        <v>4.5804000000000009</v>
      </c>
      <c r="Y33" s="119"/>
      <c r="Z33" s="124"/>
      <c r="AA33" s="30" t="s">
        <v>91</v>
      </c>
      <c r="AB33" s="125" t="s">
        <v>54</v>
      </c>
      <c r="AC33" s="120">
        <f>$I33*(1+$B$4)^2</f>
        <v>4.1987000000000005</v>
      </c>
      <c r="AD33" s="120">
        <f>AC33*(1.2)</f>
        <v>5.0384400000000005</v>
      </c>
      <c r="AE33" s="119"/>
      <c r="AF33" s="124"/>
      <c r="AG33" s="30" t="s">
        <v>91</v>
      </c>
      <c r="AH33" s="125" t="s">
        <v>54</v>
      </c>
      <c r="AI33" s="120">
        <f>$I33*(1+$B$4)^3</f>
        <v>4.6185700000000018</v>
      </c>
      <c r="AJ33" s="120">
        <f>AI33*(1.2)</f>
        <v>5.5422840000000022</v>
      </c>
      <c r="AK33" s="119"/>
      <c r="AL33" s="124"/>
      <c r="AM33" s="30" t="s">
        <v>91</v>
      </c>
      <c r="AN33" s="125" t="s">
        <v>54</v>
      </c>
      <c r="AO33" s="120">
        <f>$I33*(1+$B$4)^4</f>
        <v>5.080427000000002</v>
      </c>
      <c r="AP33" s="120">
        <f>AO33*(1.2)</f>
        <v>6.0965124000000026</v>
      </c>
      <c r="AQ33" s="119"/>
      <c r="AR33" s="124"/>
      <c r="AS33" s="30" t="s">
        <v>91</v>
      </c>
      <c r="AT33" s="125" t="s">
        <v>54</v>
      </c>
      <c r="AU33" s="120">
        <f>$I33*(1+$B$4)^5</f>
        <v>5.5884697000000019</v>
      </c>
      <c r="AV33" s="120">
        <f>AU33*(1.2)</f>
        <v>6.7061636400000024</v>
      </c>
      <c r="AW33" s="119"/>
      <c r="AX33" s="124"/>
      <c r="AZ33" s="30" t="s">
        <v>91</v>
      </c>
      <c r="BA33" s="125" t="s">
        <v>54</v>
      </c>
      <c r="BB33" s="120">
        <f>$I33*(1+$B$4)^8</f>
        <v>7.4382531707000039</v>
      </c>
      <c r="BC33" s="120">
        <f>BB33*(1.2)</f>
        <v>8.9259038048400043</v>
      </c>
      <c r="BD33" s="119"/>
      <c r="BE33" s="124"/>
    </row>
    <row r="34" spans="2:57" x14ac:dyDescent="0.3">
      <c r="B34" s="17">
        <v>23</v>
      </c>
      <c r="C34" s="18">
        <v>42683</v>
      </c>
      <c r="D34" s="17" t="s">
        <v>63</v>
      </c>
      <c r="E34" s="2" t="s">
        <v>36</v>
      </c>
      <c r="F34" s="2">
        <v>10</v>
      </c>
      <c r="G34" s="2" t="s">
        <v>54</v>
      </c>
      <c r="H34" s="2" t="s">
        <v>54</v>
      </c>
      <c r="I34" s="2">
        <v>4.03</v>
      </c>
      <c r="J34" s="11">
        <f>SUM(J35:J37)</f>
        <v>5.6679999999999993</v>
      </c>
      <c r="K34" s="9">
        <f>J34/F34</f>
        <v>0.56679999999999997</v>
      </c>
      <c r="L34" s="14" t="s">
        <v>96</v>
      </c>
      <c r="M34" s="17" t="s">
        <v>63</v>
      </c>
      <c r="N34" s="2" t="s">
        <v>104</v>
      </c>
      <c r="O34" s="2">
        <v>10</v>
      </c>
      <c r="P34" s="74">
        <f>J34/O34</f>
        <v>0.56679999999999997</v>
      </c>
      <c r="Q34" s="17" t="s">
        <v>63</v>
      </c>
      <c r="R34" s="2" t="s">
        <v>104</v>
      </c>
      <c r="S34" s="2">
        <v>10</v>
      </c>
      <c r="T34" s="36">
        <f>J34/S34</f>
        <v>0.56679999999999997</v>
      </c>
      <c r="U34" s="17" t="s">
        <v>63</v>
      </c>
      <c r="V34" s="2" t="s">
        <v>104</v>
      </c>
      <c r="W34" s="11">
        <f>SUM(W35:W37)</f>
        <v>4.4000000000000004</v>
      </c>
      <c r="X34" s="11">
        <f>SUM(X35:X37)</f>
        <v>6.1820000000000004</v>
      </c>
      <c r="Y34" s="2">
        <v>10</v>
      </c>
      <c r="Z34" s="36">
        <f t="shared" si="2"/>
        <v>0.61820000000000008</v>
      </c>
      <c r="AA34" s="17" t="s">
        <v>63</v>
      </c>
      <c r="AB34" s="63" t="s">
        <v>104</v>
      </c>
      <c r="AC34" s="11">
        <f>SUM(AC35:AC37)</f>
        <v>4.7960000000000003</v>
      </c>
      <c r="AD34" s="11">
        <f>SUM(AD35:AD37)</f>
        <v>6.7473999999999998</v>
      </c>
      <c r="AE34" s="2">
        <v>10</v>
      </c>
      <c r="AF34" s="36">
        <f t="shared" ref="AF34" si="32">AD34/AE34</f>
        <v>0.67474000000000001</v>
      </c>
      <c r="AG34" s="17" t="s">
        <v>63</v>
      </c>
      <c r="AH34" s="63" t="s">
        <v>104</v>
      </c>
      <c r="AI34" s="11">
        <f>SUM(AI35:AI37)</f>
        <v>5.231600000000002</v>
      </c>
      <c r="AJ34" s="11">
        <f>SUM(AJ35:AJ37)</f>
        <v>7.369340000000002</v>
      </c>
      <c r="AK34" s="2">
        <v>10</v>
      </c>
      <c r="AL34" s="36">
        <f t="shared" ref="AL34" si="33">AJ34/AK34</f>
        <v>0.7369340000000002</v>
      </c>
      <c r="AM34" s="68" t="s">
        <v>63</v>
      </c>
      <c r="AN34" s="41" t="s">
        <v>104</v>
      </c>
      <c r="AO34" s="73">
        <f>SUM(AO35:AO37)</f>
        <v>5.7107600000000005</v>
      </c>
      <c r="AP34" s="73">
        <f>SUM(AP35:AP37)</f>
        <v>8.0534740000000014</v>
      </c>
      <c r="AQ34" s="41">
        <v>25</v>
      </c>
      <c r="AR34" s="62">
        <f t="shared" ref="AR34" si="34">AP34/AQ34</f>
        <v>0.32213896000000003</v>
      </c>
      <c r="AS34" s="17" t="s">
        <v>63</v>
      </c>
      <c r="AT34" s="63" t="s">
        <v>104</v>
      </c>
      <c r="AU34" s="11">
        <f>SUM(AU35:AU37)</f>
        <v>6.2378360000000015</v>
      </c>
      <c r="AV34" s="11">
        <f>SUM(AV35:AV37)</f>
        <v>8.8060214000000023</v>
      </c>
      <c r="AW34" s="63">
        <v>25</v>
      </c>
      <c r="AX34" s="36">
        <f t="shared" ref="AX34" si="35">AV34/AW34</f>
        <v>0.3522408560000001</v>
      </c>
      <c r="AZ34" s="17" t="s">
        <v>63</v>
      </c>
      <c r="BA34" s="63" t="s">
        <v>104</v>
      </c>
      <c r="BB34" s="11">
        <f>SUM(BB35:BB37)</f>
        <v>8.1569197160000044</v>
      </c>
      <c r="BC34" s="11">
        <f>SUM(BC35:BC37)</f>
        <v>11.546046483400005</v>
      </c>
      <c r="BD34" s="63">
        <v>25</v>
      </c>
      <c r="BE34" s="36">
        <f t="shared" ref="BE34" si="36">BC34/BD34</f>
        <v>0.46184185933600019</v>
      </c>
    </row>
    <row r="35" spans="2:57" x14ac:dyDescent="0.3">
      <c r="B35" s="30"/>
      <c r="C35" s="31"/>
      <c r="D35" s="39" t="s">
        <v>70</v>
      </c>
      <c r="E35" s="40" t="s">
        <v>71</v>
      </c>
      <c r="F35" s="40"/>
      <c r="G35" s="40" t="s">
        <v>54</v>
      </c>
      <c r="H35" s="40"/>
      <c r="I35" s="40">
        <v>0.44</v>
      </c>
      <c r="J35" s="40">
        <f>I35*1.2</f>
        <v>0.52800000000000002</v>
      </c>
      <c r="K35" s="40"/>
      <c r="L35" s="16" t="s">
        <v>93</v>
      </c>
      <c r="M35" s="39" t="s">
        <v>70</v>
      </c>
      <c r="N35" s="40" t="s">
        <v>54</v>
      </c>
      <c r="O35" s="40"/>
      <c r="P35" s="77"/>
      <c r="Q35" s="21" t="s">
        <v>70</v>
      </c>
      <c r="R35" s="8" t="s">
        <v>54</v>
      </c>
      <c r="S35" s="8"/>
      <c r="T35" s="57"/>
      <c r="U35" s="21" t="s">
        <v>70</v>
      </c>
      <c r="V35" s="8" t="s">
        <v>54</v>
      </c>
      <c r="W35" s="12">
        <f>$I$35</f>
        <v>0.44</v>
      </c>
      <c r="X35" s="12">
        <f>W35*1.2</f>
        <v>0.52800000000000002</v>
      </c>
      <c r="Y35" s="8"/>
      <c r="Z35" s="57"/>
      <c r="AA35" s="21" t="s">
        <v>70</v>
      </c>
      <c r="AB35" s="85" t="s">
        <v>54</v>
      </c>
      <c r="AC35" s="12">
        <f>$I$35</f>
        <v>0.44</v>
      </c>
      <c r="AD35" s="12">
        <f>AC35*1.2</f>
        <v>0.52800000000000002</v>
      </c>
      <c r="AE35" s="8"/>
      <c r="AF35" s="57"/>
      <c r="AG35" s="21" t="s">
        <v>70</v>
      </c>
      <c r="AH35" s="85" t="s">
        <v>54</v>
      </c>
      <c r="AI35" s="12">
        <f>$I$35</f>
        <v>0.44</v>
      </c>
      <c r="AJ35" s="12">
        <f>AI35*1.2</f>
        <v>0.52800000000000002</v>
      </c>
      <c r="AK35" s="8"/>
      <c r="AL35" s="57"/>
      <c r="AM35" s="21" t="s">
        <v>70</v>
      </c>
      <c r="AN35" s="85" t="s">
        <v>54</v>
      </c>
      <c r="AO35" s="12">
        <f>$I$35</f>
        <v>0.44</v>
      </c>
      <c r="AP35" s="12">
        <f>AO35*1.2</f>
        <v>0.52800000000000002</v>
      </c>
      <c r="AQ35" s="8"/>
      <c r="AR35" s="57"/>
      <c r="AS35" s="21" t="s">
        <v>70</v>
      </c>
      <c r="AT35" s="85" t="s">
        <v>54</v>
      </c>
      <c r="AU35" s="12">
        <f>$I$35</f>
        <v>0.44</v>
      </c>
      <c r="AV35" s="12">
        <f>AU35*1.2</f>
        <v>0.52800000000000002</v>
      </c>
      <c r="AW35" s="8"/>
      <c r="AX35" s="57"/>
      <c r="AZ35" s="21" t="s">
        <v>70</v>
      </c>
      <c r="BA35" s="85" t="s">
        <v>54</v>
      </c>
      <c r="BB35" s="12">
        <f>$I$35</f>
        <v>0.44</v>
      </c>
      <c r="BC35" s="12">
        <f>BB35*1.2</f>
        <v>0.52800000000000002</v>
      </c>
      <c r="BD35" s="8"/>
      <c r="BE35" s="57"/>
    </row>
    <row r="36" spans="2:57" x14ac:dyDescent="0.3">
      <c r="B36" s="30"/>
      <c r="C36" s="31"/>
      <c r="D36" s="30" t="s">
        <v>72</v>
      </c>
      <c r="E36" s="119" t="s">
        <v>94</v>
      </c>
      <c r="F36" s="119"/>
      <c r="G36" s="119" t="s">
        <v>54</v>
      </c>
      <c r="H36" s="119" t="s">
        <v>78</v>
      </c>
      <c r="I36" s="119">
        <v>0.3</v>
      </c>
      <c r="J36" s="120">
        <f>I36*(1.2)+I20</f>
        <v>1.18</v>
      </c>
      <c r="K36" s="119"/>
      <c r="L36" s="122" t="s">
        <v>96</v>
      </c>
      <c r="M36" s="30" t="s">
        <v>72</v>
      </c>
      <c r="N36" s="119" t="s">
        <v>54</v>
      </c>
      <c r="O36" s="119"/>
      <c r="P36" s="123"/>
      <c r="Q36" s="30" t="s">
        <v>72</v>
      </c>
      <c r="R36" s="119" t="s">
        <v>54</v>
      </c>
      <c r="S36" s="119"/>
      <c r="T36" s="124"/>
      <c r="U36" s="30" t="s">
        <v>72</v>
      </c>
      <c r="V36" s="119" t="s">
        <v>54</v>
      </c>
      <c r="W36" s="120">
        <f>$I36*(1+$B$4)^1</f>
        <v>0.33</v>
      </c>
      <c r="X36" s="120">
        <f>W36*(1.2)+W20</f>
        <v>1.298</v>
      </c>
      <c r="Y36" s="119"/>
      <c r="Z36" s="124"/>
      <c r="AA36" s="30" t="s">
        <v>72</v>
      </c>
      <c r="AB36" s="125" t="s">
        <v>54</v>
      </c>
      <c r="AC36" s="120">
        <f>$I36*(1+$B$4)^2</f>
        <v>0.36300000000000004</v>
      </c>
      <c r="AD36" s="120">
        <f>AC36*(1.2)+AC20</f>
        <v>1.4278000000000002</v>
      </c>
      <c r="AE36" s="119"/>
      <c r="AF36" s="124"/>
      <c r="AG36" s="30" t="s">
        <v>72</v>
      </c>
      <c r="AH36" s="125" t="s">
        <v>54</v>
      </c>
      <c r="AI36" s="120">
        <f>$I36*(1+$B$4)^3</f>
        <v>0.3993000000000001</v>
      </c>
      <c r="AJ36" s="120">
        <f>AI36*(1.2)+AI20</f>
        <v>1.5705800000000003</v>
      </c>
      <c r="AK36" s="119"/>
      <c r="AL36" s="124"/>
      <c r="AM36" s="30" t="s">
        <v>72</v>
      </c>
      <c r="AN36" s="125" t="s">
        <v>54</v>
      </c>
      <c r="AO36" s="120">
        <f>$I36*(1+$B$4)^4</f>
        <v>0.43923000000000012</v>
      </c>
      <c r="AP36" s="120">
        <f>AO36*(1.2)+AO20</f>
        <v>1.7276380000000005</v>
      </c>
      <c r="AQ36" s="119"/>
      <c r="AR36" s="124"/>
      <c r="AS36" s="30" t="s">
        <v>72</v>
      </c>
      <c r="AT36" s="125" t="s">
        <v>54</v>
      </c>
      <c r="AU36" s="120">
        <f>$I36*(1+$B$4)^5</f>
        <v>0.48315300000000017</v>
      </c>
      <c r="AV36" s="120">
        <f>AU36*(1.2)+AU20</f>
        <v>1.9004018000000005</v>
      </c>
      <c r="AW36" s="119"/>
      <c r="AX36" s="124"/>
      <c r="AZ36" s="30" t="s">
        <v>72</v>
      </c>
      <c r="BA36" s="125" t="s">
        <v>54</v>
      </c>
      <c r="BB36" s="120">
        <f>$I36*(1+$B$4)^8</f>
        <v>0.64307664300000034</v>
      </c>
      <c r="BC36" s="120">
        <f>BB36*(1.2)+BB20</f>
        <v>2.5294347958000012</v>
      </c>
      <c r="BD36" s="119"/>
      <c r="BE36" s="124"/>
    </row>
    <row r="37" spans="2:57" x14ac:dyDescent="0.3">
      <c r="B37" s="30"/>
      <c r="C37" s="31"/>
      <c r="D37" s="30" t="s">
        <v>147</v>
      </c>
      <c r="E37" s="119" t="s">
        <v>95</v>
      </c>
      <c r="F37" s="119"/>
      <c r="G37" s="119" t="s">
        <v>54</v>
      </c>
      <c r="H37" s="119" t="s">
        <v>76</v>
      </c>
      <c r="I37" s="119">
        <v>3.3</v>
      </c>
      <c r="J37" s="120">
        <f>I37*(1.2)+I11</f>
        <v>3.9599999999999995</v>
      </c>
      <c r="K37" s="119"/>
      <c r="L37" s="122" t="s">
        <v>96</v>
      </c>
      <c r="M37" s="30" t="s">
        <v>147</v>
      </c>
      <c r="N37" s="119" t="s">
        <v>54</v>
      </c>
      <c r="O37" s="119"/>
      <c r="P37" s="123"/>
      <c r="Q37" s="30" t="s">
        <v>147</v>
      </c>
      <c r="R37" s="119" t="s">
        <v>54</v>
      </c>
      <c r="S37" s="119"/>
      <c r="T37" s="124"/>
      <c r="U37" s="30" t="s">
        <v>147</v>
      </c>
      <c r="V37" s="119" t="s">
        <v>54</v>
      </c>
      <c r="W37" s="120">
        <f>$I37*(1+$B$4)^1</f>
        <v>3.63</v>
      </c>
      <c r="X37" s="120">
        <f>W37*(1.2)+W11</f>
        <v>4.3559999999999999</v>
      </c>
      <c r="Y37" s="119"/>
      <c r="Z37" s="124"/>
      <c r="AA37" s="30" t="s">
        <v>147</v>
      </c>
      <c r="AB37" s="125" t="s">
        <v>54</v>
      </c>
      <c r="AC37" s="120">
        <f>$I37*(1+$B$4)^2</f>
        <v>3.9930000000000003</v>
      </c>
      <c r="AD37" s="120">
        <f>AC37*(1.2)+AC11</f>
        <v>4.7915999999999999</v>
      </c>
      <c r="AE37" s="119"/>
      <c r="AF37" s="124"/>
      <c r="AG37" s="30" t="s">
        <v>147</v>
      </c>
      <c r="AH37" s="125" t="s">
        <v>54</v>
      </c>
      <c r="AI37" s="120">
        <f>$I37*(1+$B$4)^3</f>
        <v>4.3923000000000014</v>
      </c>
      <c r="AJ37" s="120">
        <f>AI37*(1.2)+AI11</f>
        <v>5.2707600000000019</v>
      </c>
      <c r="AK37" s="119"/>
      <c r="AL37" s="124"/>
      <c r="AM37" s="30" t="s">
        <v>147</v>
      </c>
      <c r="AN37" s="125" t="s">
        <v>54</v>
      </c>
      <c r="AO37" s="120">
        <f>$I37*(1+$B$4)^4</f>
        <v>4.8315300000000008</v>
      </c>
      <c r="AP37" s="120">
        <f>AO37*(1.2)+AO11</f>
        <v>5.7978360000000011</v>
      </c>
      <c r="AQ37" s="119"/>
      <c r="AR37" s="124"/>
      <c r="AS37" s="30" t="s">
        <v>147</v>
      </c>
      <c r="AT37" s="125" t="s">
        <v>54</v>
      </c>
      <c r="AU37" s="120">
        <f>$I37*(1+$B$4)^5</f>
        <v>5.3146830000000014</v>
      </c>
      <c r="AV37" s="120">
        <f>AU37*(1.2)+AU11</f>
        <v>6.3776196000000018</v>
      </c>
      <c r="AW37" s="119"/>
      <c r="AX37" s="124"/>
      <c r="AZ37" s="30" t="s">
        <v>147</v>
      </c>
      <c r="BA37" s="125" t="s">
        <v>54</v>
      </c>
      <c r="BB37" s="120">
        <f>$I37*(1+$B$4)^8</f>
        <v>7.0738430730000035</v>
      </c>
      <c r="BC37" s="120">
        <f>BB37*(1.2)+BB11</f>
        <v>8.4886116876000042</v>
      </c>
      <c r="BD37" s="119"/>
      <c r="BE37" s="124"/>
    </row>
    <row r="38" spans="2:57" ht="15" thickBot="1" x14ac:dyDescent="0.35">
      <c r="B38" s="23">
        <v>24</v>
      </c>
      <c r="C38" s="27">
        <v>42684</v>
      </c>
      <c r="D38" s="23" t="s">
        <v>38</v>
      </c>
      <c r="E38" s="24" t="s">
        <v>37</v>
      </c>
      <c r="F38" s="24">
        <v>10</v>
      </c>
      <c r="G38" s="24" t="s">
        <v>54</v>
      </c>
      <c r="H38" s="24" t="s">
        <v>79</v>
      </c>
      <c r="I38" s="24">
        <v>5.64</v>
      </c>
      <c r="J38" s="25">
        <f>I38*(1.2)+I22+I23</f>
        <v>18.088000000000001</v>
      </c>
      <c r="K38" s="26">
        <f>J38/F38</f>
        <v>1.8088000000000002</v>
      </c>
      <c r="L38" s="52" t="s">
        <v>96</v>
      </c>
      <c r="M38" s="23" t="s">
        <v>38</v>
      </c>
      <c r="N38" s="24" t="s">
        <v>133</v>
      </c>
      <c r="O38" s="24">
        <v>10</v>
      </c>
      <c r="P38" s="79">
        <f>J38/O38</f>
        <v>1.8088000000000002</v>
      </c>
      <c r="Q38" s="70" t="s">
        <v>38</v>
      </c>
      <c r="R38" s="42" t="s">
        <v>133</v>
      </c>
      <c r="S38" s="42">
        <v>25</v>
      </c>
      <c r="T38" s="71">
        <f>J38/S38</f>
        <v>0.72352000000000005</v>
      </c>
      <c r="U38" s="23" t="s">
        <v>38</v>
      </c>
      <c r="V38" s="24" t="s">
        <v>133</v>
      </c>
      <c r="W38" s="25">
        <f>$I38*(1+$B$4)^1</f>
        <v>6.2039999999999997</v>
      </c>
      <c r="X38" s="25">
        <f>W38*(1.2)+W22</f>
        <v>19.896799999999999</v>
      </c>
      <c r="Y38" s="24">
        <v>25</v>
      </c>
      <c r="Z38" s="38">
        <f t="shared" si="2"/>
        <v>0.79587199999999991</v>
      </c>
      <c r="AA38" s="70" t="s">
        <v>38</v>
      </c>
      <c r="AB38" s="42" t="s">
        <v>133</v>
      </c>
      <c r="AC38" s="91">
        <f>$I38*(1+$B$4)^2</f>
        <v>6.8244000000000007</v>
      </c>
      <c r="AD38" s="91">
        <f>AC38*(1.2)+AC22</f>
        <v>21.886480000000002</v>
      </c>
      <c r="AE38" s="42">
        <v>40</v>
      </c>
      <c r="AF38" s="71">
        <f t="shared" ref="AF38" si="37">AD38/AE38</f>
        <v>0.54716200000000004</v>
      </c>
      <c r="AG38" s="23" t="s">
        <v>38</v>
      </c>
      <c r="AH38" s="81" t="s">
        <v>133</v>
      </c>
      <c r="AI38" s="25">
        <f>$I38*(1+$B$4)^3</f>
        <v>7.5068400000000022</v>
      </c>
      <c r="AJ38" s="25">
        <f>AI38*(1.2)+AI22</f>
        <v>24.075128000000007</v>
      </c>
      <c r="AK38" s="24">
        <v>40</v>
      </c>
      <c r="AL38" s="38">
        <f t="shared" ref="AL38" si="38">AJ38/AK38</f>
        <v>0.60187820000000014</v>
      </c>
      <c r="AM38" s="23" t="s">
        <v>38</v>
      </c>
      <c r="AN38" s="81" t="s">
        <v>133</v>
      </c>
      <c r="AO38" s="25">
        <f>$I38*(1+$B$4)^4</f>
        <v>8.2575240000000019</v>
      </c>
      <c r="AP38" s="25">
        <f>AO38*(1.2)+AO22</f>
        <v>26.482640800000006</v>
      </c>
      <c r="AQ38" s="24">
        <v>40</v>
      </c>
      <c r="AR38" s="38">
        <f t="shared" ref="AR38" si="39">AP38/AQ38</f>
        <v>0.66206602000000014</v>
      </c>
      <c r="AS38" s="97" t="s">
        <v>38</v>
      </c>
      <c r="AT38" s="81" t="s">
        <v>149</v>
      </c>
      <c r="AU38" s="98">
        <f>$I38*(1+$B$4)^5</f>
        <v>9.0832764000000026</v>
      </c>
      <c r="AV38" s="98">
        <f>AU38*(1.2)+AU22</f>
        <v>29.13090488000001</v>
      </c>
      <c r="AW38" s="81">
        <v>40</v>
      </c>
      <c r="AX38" s="99">
        <f t="shared" ref="AX38" si="40">AV38/AW38</f>
        <v>0.7282726220000002</v>
      </c>
      <c r="AZ38" s="70" t="s">
        <v>38</v>
      </c>
      <c r="BA38" s="42" t="s">
        <v>135</v>
      </c>
      <c r="BB38" s="91">
        <f>$I38*(1+$B$4)^8</f>
        <v>12.089840888400005</v>
      </c>
      <c r="BC38" s="91">
        <f>BB38*(1.2)+BB22</f>
        <v>38.773234395280021</v>
      </c>
      <c r="BD38" s="42">
        <v>100</v>
      </c>
      <c r="BE38" s="71">
        <f t="shared" ref="BE38" si="41">BC38/BD38</f>
        <v>0.38773234395280021</v>
      </c>
    </row>
    <row r="40" spans="2:57" x14ac:dyDescent="0.3">
      <c r="D40" s="118" t="s">
        <v>7</v>
      </c>
      <c r="E40" s="118"/>
      <c r="F40" s="118"/>
      <c r="G40" s="118"/>
      <c r="H40" s="7"/>
      <c r="I40" s="7"/>
      <c r="L40" s="103" t="s">
        <v>98</v>
      </c>
      <c r="M40" s="104"/>
      <c r="N40" s="104"/>
      <c r="O40" s="105"/>
      <c r="Q40" s="103" t="s">
        <v>98</v>
      </c>
      <c r="R40" s="104"/>
      <c r="S40" s="104"/>
      <c r="T40" s="105"/>
      <c r="V40" s="103" t="s">
        <v>98</v>
      </c>
      <c r="W40" s="104"/>
      <c r="X40" s="104"/>
      <c r="Y40" s="105"/>
      <c r="AB40" s="103" t="s">
        <v>98</v>
      </c>
      <c r="AC40" s="104"/>
      <c r="AD40" s="104"/>
      <c r="AE40" s="105"/>
      <c r="AH40" s="103" t="s">
        <v>98</v>
      </c>
      <c r="AI40" s="104"/>
      <c r="AJ40" s="104"/>
      <c r="AK40" s="105"/>
      <c r="AN40" s="103" t="s">
        <v>98</v>
      </c>
      <c r="AO40" s="104"/>
      <c r="AP40" s="104"/>
      <c r="AQ40" s="105"/>
      <c r="AT40" s="103" t="s">
        <v>98</v>
      </c>
      <c r="AU40" s="104"/>
      <c r="AV40" s="104"/>
      <c r="AW40" s="105"/>
      <c r="BA40" s="103" t="s">
        <v>98</v>
      </c>
      <c r="BB40" s="104"/>
      <c r="BC40" s="104"/>
      <c r="BD40" s="105"/>
    </row>
    <row r="41" spans="2:57" ht="28.8" x14ac:dyDescent="0.3">
      <c r="D41" s="4" t="s">
        <v>11</v>
      </c>
      <c r="E41" s="3" t="s">
        <v>8</v>
      </c>
      <c r="F41" s="3" t="s">
        <v>13</v>
      </c>
      <c r="G41" s="3" t="s">
        <v>12</v>
      </c>
      <c r="L41" s="4" t="s">
        <v>11</v>
      </c>
      <c r="M41" s="3" t="s">
        <v>8</v>
      </c>
      <c r="N41" s="3" t="s">
        <v>13</v>
      </c>
      <c r="O41" s="3" t="s">
        <v>12</v>
      </c>
      <c r="Q41" s="4" t="s">
        <v>11</v>
      </c>
      <c r="R41" s="3" t="s">
        <v>8</v>
      </c>
      <c r="S41" s="3" t="s">
        <v>13</v>
      </c>
      <c r="T41" s="3" t="s">
        <v>12</v>
      </c>
      <c r="V41" s="4" t="s">
        <v>11</v>
      </c>
      <c r="W41" s="3" t="s">
        <v>8</v>
      </c>
      <c r="X41" s="3" t="s">
        <v>13</v>
      </c>
      <c r="Y41" s="3" t="s">
        <v>12</v>
      </c>
      <c r="AB41" s="4" t="s">
        <v>11</v>
      </c>
      <c r="AC41" s="3" t="s">
        <v>8</v>
      </c>
      <c r="AD41" s="3" t="s">
        <v>13</v>
      </c>
      <c r="AE41" s="3" t="s">
        <v>12</v>
      </c>
      <c r="AH41" s="4" t="s">
        <v>11</v>
      </c>
      <c r="AI41" s="3" t="s">
        <v>8</v>
      </c>
      <c r="AJ41" s="3" t="s">
        <v>13</v>
      </c>
      <c r="AK41" s="3" t="s">
        <v>12</v>
      </c>
      <c r="AN41" s="4" t="s">
        <v>11</v>
      </c>
      <c r="AO41" s="3" t="s">
        <v>8</v>
      </c>
      <c r="AP41" s="3" t="s">
        <v>13</v>
      </c>
      <c r="AQ41" s="3" t="s">
        <v>12</v>
      </c>
      <c r="AT41" s="4" t="s">
        <v>11</v>
      </c>
      <c r="AU41" s="3" t="s">
        <v>8</v>
      </c>
      <c r="AV41" s="3" t="s">
        <v>13</v>
      </c>
      <c r="AW41" s="3" t="s">
        <v>12</v>
      </c>
      <c r="BA41" s="4" t="s">
        <v>11</v>
      </c>
      <c r="BB41" s="3" t="s">
        <v>8</v>
      </c>
      <c r="BC41" s="3" t="s">
        <v>13</v>
      </c>
      <c r="BD41" s="3" t="s">
        <v>12</v>
      </c>
    </row>
    <row r="42" spans="2:57" x14ac:dyDescent="0.3">
      <c r="D42" s="2">
        <v>1</v>
      </c>
      <c r="E42" s="2">
        <v>20</v>
      </c>
      <c r="F42" s="2">
        <v>15</v>
      </c>
      <c r="G42" s="2">
        <f>COUNTIF(F6:F38,D42)+F42</f>
        <v>18</v>
      </c>
      <c r="L42" s="43" t="s">
        <v>99</v>
      </c>
      <c r="M42" s="2">
        <v>28</v>
      </c>
      <c r="N42" s="2">
        <v>7</v>
      </c>
      <c r="O42" s="2">
        <f>N42+COUNT(O9,O12,O13,O14,O15,O17,O18,O20,O21,O22,O23,O26,O28,O29)</f>
        <v>21</v>
      </c>
      <c r="Q42" s="43" t="s">
        <v>99</v>
      </c>
      <c r="R42" s="2">
        <v>28</v>
      </c>
      <c r="S42" s="2">
        <v>7</v>
      </c>
      <c r="T42" s="2">
        <f>S42+COUNT(S13,S15,S17,S9,S12,S14,S18,S20,S21,S23,S26,S28)</f>
        <v>19</v>
      </c>
      <c r="V42" s="43" t="s">
        <v>99</v>
      </c>
      <c r="W42" s="2">
        <v>28</v>
      </c>
      <c r="X42" s="2">
        <v>7</v>
      </c>
      <c r="Y42" s="2">
        <f>X42+COUNT(Y13,Y15,Y17,Y9,Y12,Y14,Y18,Y20,Y21,Y23,Y28)</f>
        <v>18</v>
      </c>
      <c r="AB42" s="43" t="s">
        <v>99</v>
      </c>
      <c r="AC42" s="2">
        <v>28</v>
      </c>
      <c r="AD42" s="2">
        <v>7</v>
      </c>
      <c r="AE42" s="2">
        <f>AD42+COUNT(AE13,AE15,AE17,AE9,AE12,AE14,AE18,AE20,AE21,AE23,AE28)</f>
        <v>18</v>
      </c>
      <c r="AH42" s="43" t="s">
        <v>99</v>
      </c>
      <c r="AI42" s="2">
        <v>28</v>
      </c>
      <c r="AJ42" s="2">
        <v>7</v>
      </c>
      <c r="AK42" s="2">
        <f>AJ42+COUNT(AK13,AK15,AK17,AK9,AK14,AK18,AK20,AK21,AK23,AK28)</f>
        <v>17</v>
      </c>
      <c r="AN42" s="43" t="s">
        <v>99</v>
      </c>
      <c r="AO42" s="2">
        <v>28</v>
      </c>
      <c r="AP42" s="2">
        <v>7</v>
      </c>
      <c r="AQ42" s="2">
        <f>AP42+COUNT(AQ13,AQ15,AQ17,AQ9,AQ14,AQ18,AQ20,AQ21,AQ23,AQ28)</f>
        <v>17</v>
      </c>
      <c r="AT42" s="43" t="s">
        <v>99</v>
      </c>
      <c r="AU42" s="2">
        <v>28</v>
      </c>
      <c r="AV42" s="2">
        <v>7</v>
      </c>
      <c r="AW42" s="2">
        <f>AV42+COUNT(AW13,AW15,AW17,AW9,AW14,AW18,AW20,AW21,AW23,AW28)</f>
        <v>17</v>
      </c>
      <c r="BA42" s="43" t="s">
        <v>99</v>
      </c>
      <c r="BB42" s="2">
        <v>28</v>
      </c>
      <c r="BC42" s="2">
        <v>7</v>
      </c>
      <c r="BD42" s="2">
        <f>BC42+COUNT(BD13,BD15,BD17,BD14,BD18,BD20,BD21,BD23,BD28)</f>
        <v>14</v>
      </c>
    </row>
    <row r="43" spans="2:57" x14ac:dyDescent="0.3">
      <c r="D43" s="2">
        <v>10</v>
      </c>
      <c r="E43" s="2">
        <v>20</v>
      </c>
      <c r="F43" s="2">
        <v>0</v>
      </c>
      <c r="G43" s="2">
        <f>COUNTIF(F6:F38,D43)+F43</f>
        <v>20</v>
      </c>
      <c r="L43" s="44" t="s">
        <v>100</v>
      </c>
      <c r="M43" s="2">
        <v>8</v>
      </c>
      <c r="N43" s="2">
        <v>0</v>
      </c>
      <c r="O43" s="2">
        <f>N43+COUNT(O6,O7,O8,O16,O24,O25,O27,O38,O34)</f>
        <v>9</v>
      </c>
      <c r="Q43" s="44" t="s">
        <v>100</v>
      </c>
      <c r="R43" s="2">
        <v>8</v>
      </c>
      <c r="S43" s="2">
        <v>0</v>
      </c>
      <c r="T43" s="2">
        <f>S43+COUNT(S6,S7,S8,S16,S24,S25,S27,S38,S34)</f>
        <v>9</v>
      </c>
      <c r="V43" s="44" t="s">
        <v>100</v>
      </c>
      <c r="W43" s="2">
        <v>8</v>
      </c>
      <c r="X43" s="2">
        <v>0</v>
      </c>
      <c r="Y43" s="2">
        <f>X43+COUNT(Y6,Y7,Y8,Y16,Y24,Y25,Y27,Y38,Y34)</f>
        <v>9</v>
      </c>
      <c r="AB43" s="44" t="s">
        <v>100</v>
      </c>
      <c r="AC43" s="2">
        <v>8</v>
      </c>
      <c r="AD43" s="2">
        <v>0</v>
      </c>
      <c r="AE43" s="2">
        <f>AD43+COUNT(AE6,AE7,AE8,AE16,AE24,AE25,AE27,AE34)</f>
        <v>8</v>
      </c>
      <c r="AH43" s="44" t="s">
        <v>100</v>
      </c>
      <c r="AI43" s="2">
        <v>8</v>
      </c>
      <c r="AJ43" s="2">
        <v>0</v>
      </c>
      <c r="AK43" s="2">
        <f>AJ43+COUNT(AK6,AK7,AK8,AK16,AK24,AK25,AK27,AK34)</f>
        <v>8</v>
      </c>
      <c r="AN43" s="44" t="s">
        <v>100</v>
      </c>
      <c r="AO43" s="2">
        <v>8</v>
      </c>
      <c r="AP43" s="2">
        <v>0</v>
      </c>
      <c r="AQ43" s="2">
        <f>AP43+COUNT(AQ6,AQ7,AQ8,AQ16,AQ24,AQ25,AQ34)</f>
        <v>7</v>
      </c>
      <c r="AT43" s="44" t="s">
        <v>100</v>
      </c>
      <c r="AU43" s="2">
        <v>8</v>
      </c>
      <c r="AV43" s="2">
        <v>0</v>
      </c>
      <c r="AW43" s="2">
        <f>AV43+COUNT(AW6,AW7,AW8,AW16,AW24,AW34)</f>
        <v>6</v>
      </c>
      <c r="BA43" s="44" t="s">
        <v>100</v>
      </c>
      <c r="BB43" s="2">
        <v>8</v>
      </c>
      <c r="BC43" s="2">
        <v>0</v>
      </c>
      <c r="BD43" s="2">
        <f>BC43+COUNT(BD6,BD7,BD8,BD16,BD24,BD34)</f>
        <v>6</v>
      </c>
    </row>
    <row r="44" spans="2:57" x14ac:dyDescent="0.3">
      <c r="L44" s="44" t="s">
        <v>101</v>
      </c>
      <c r="M44" s="2">
        <v>12</v>
      </c>
      <c r="N44" s="2">
        <v>0</v>
      </c>
      <c r="O44" s="2">
        <f>N44</f>
        <v>0</v>
      </c>
      <c r="Q44" s="44" t="s">
        <v>101</v>
      </c>
      <c r="R44" s="2">
        <v>12</v>
      </c>
      <c r="S44" s="2">
        <v>0</v>
      </c>
      <c r="T44" s="2">
        <f>S44</f>
        <v>0</v>
      </c>
      <c r="V44" s="44" t="s">
        <v>101</v>
      </c>
      <c r="W44" s="2">
        <v>12</v>
      </c>
      <c r="X44" s="2">
        <v>0</v>
      </c>
      <c r="Y44" s="2">
        <f>X44</f>
        <v>0</v>
      </c>
      <c r="AB44" s="44" t="s">
        <v>101</v>
      </c>
      <c r="AC44" s="2">
        <v>12</v>
      </c>
      <c r="AD44" s="2">
        <v>0</v>
      </c>
      <c r="AE44" s="2">
        <f>AD44</f>
        <v>0</v>
      </c>
      <c r="AH44" s="44" t="s">
        <v>101</v>
      </c>
      <c r="AI44" s="2">
        <v>12</v>
      </c>
      <c r="AJ44" s="2">
        <v>0</v>
      </c>
      <c r="AK44" s="2">
        <f>AJ44</f>
        <v>0</v>
      </c>
      <c r="AN44" s="44" t="s">
        <v>101</v>
      </c>
      <c r="AO44" s="2">
        <v>12</v>
      </c>
      <c r="AP44" s="2">
        <v>0</v>
      </c>
      <c r="AQ44" s="2">
        <f>AP44</f>
        <v>0</v>
      </c>
      <c r="AT44" s="44" t="s">
        <v>101</v>
      </c>
      <c r="AU44" s="2">
        <v>12</v>
      </c>
      <c r="AV44" s="2">
        <v>0</v>
      </c>
      <c r="AW44" s="2">
        <f>AV44</f>
        <v>0</v>
      </c>
      <c r="BA44" s="44" t="s">
        <v>101</v>
      </c>
      <c r="BB44" s="2">
        <v>12</v>
      </c>
      <c r="BC44" s="2">
        <v>0</v>
      </c>
      <c r="BD44" s="2">
        <f>BC44</f>
        <v>0</v>
      </c>
    </row>
    <row r="45" spans="2:57" x14ac:dyDescent="0.3">
      <c r="L45" s="44" t="s">
        <v>102</v>
      </c>
      <c r="M45" s="2">
        <v>8</v>
      </c>
      <c r="N45" s="2">
        <v>0</v>
      </c>
      <c r="O45" s="2">
        <f>N45</f>
        <v>0</v>
      </c>
      <c r="Q45" s="44" t="s">
        <v>102</v>
      </c>
      <c r="R45" s="2">
        <v>8</v>
      </c>
      <c r="S45" s="2">
        <v>0</v>
      </c>
      <c r="T45" s="2">
        <f>COUNT(S22,S29)</f>
        <v>2</v>
      </c>
      <c r="V45" s="44" t="s">
        <v>102</v>
      </c>
      <c r="W45" s="2">
        <v>8</v>
      </c>
      <c r="X45" s="2">
        <v>0</v>
      </c>
      <c r="Y45" s="2">
        <f>COUNT(Y22,Y26,Y29)</f>
        <v>3</v>
      </c>
      <c r="AB45" s="44" t="s">
        <v>102</v>
      </c>
      <c r="AC45" s="2">
        <v>8</v>
      </c>
      <c r="AD45" s="2">
        <v>0</v>
      </c>
      <c r="AE45" s="2">
        <f>COUNT(AE22,AE26,AE29,AE38)</f>
        <v>4</v>
      </c>
      <c r="AH45" s="44" t="s">
        <v>102</v>
      </c>
      <c r="AI45" s="2">
        <v>8</v>
      </c>
      <c r="AJ45" s="2">
        <v>0</v>
      </c>
      <c r="AK45" s="2">
        <f>COUNT(AK12,AK22,AK26,AK29,AE38)</f>
        <v>5</v>
      </c>
      <c r="AN45" s="44" t="s">
        <v>102</v>
      </c>
      <c r="AO45" s="2">
        <v>8</v>
      </c>
      <c r="AP45" s="2">
        <v>0</v>
      </c>
      <c r="AQ45" s="2">
        <f>COUNT(AQ12,AQ22,AQ26,AQ27,AQ29,AE38)</f>
        <v>6</v>
      </c>
      <c r="AT45" s="44" t="s">
        <v>102</v>
      </c>
      <c r="AU45" s="2">
        <v>8</v>
      </c>
      <c r="AV45" s="2">
        <v>0</v>
      </c>
      <c r="AW45" s="2">
        <f>COUNT(AW12,AW22,AW25,AW26,AW27,AW29,AW38)</f>
        <v>7</v>
      </c>
      <c r="BA45" s="93" t="s">
        <v>102</v>
      </c>
      <c r="BB45" s="92">
        <v>8</v>
      </c>
      <c r="BC45" s="92">
        <v>0</v>
      </c>
      <c r="BD45" s="92">
        <f>COUNT(BD12,BD21,BD22,BD25,BD26,BD27,BD29,BD38,BD24,BD16)</f>
        <v>10</v>
      </c>
    </row>
    <row r="46" spans="2:57" ht="15" thickBot="1" x14ac:dyDescent="0.35"/>
    <row r="47" spans="2:57" ht="15" thickBot="1" x14ac:dyDescent="0.35">
      <c r="M47" s="106" t="s">
        <v>103</v>
      </c>
      <c r="N47" s="107"/>
      <c r="O47" s="49">
        <f>SUM(O42:O45)-SUM(N42:N45)-COUNT(O6:O38)</f>
        <v>0</v>
      </c>
      <c r="R47" s="106" t="s">
        <v>103</v>
      </c>
      <c r="S47" s="107"/>
      <c r="T47" s="49">
        <f>SUM(T42:T45)-SUM(S42:S45)-COUNT(S6:S38)</f>
        <v>0</v>
      </c>
      <c r="W47" s="106" t="s">
        <v>103</v>
      </c>
      <c r="X47" s="107"/>
      <c r="Y47" s="49">
        <f>SUM(Y42:Y45)-SUM(X42:X45)-COUNT(Y6:Y38)</f>
        <v>0</v>
      </c>
      <c r="AC47" s="106" t="s">
        <v>103</v>
      </c>
      <c r="AD47" s="107"/>
      <c r="AE47" s="49">
        <f>SUM(AE42:AE45)-SUM(AD42:AD45)-COUNT(AE6:AE38)</f>
        <v>0</v>
      </c>
      <c r="AI47" s="106" t="s">
        <v>103</v>
      </c>
      <c r="AJ47" s="107"/>
      <c r="AK47" s="49">
        <f>SUM(AK42:AK45)-SUM(AJ42:AJ45)-COUNT(AK6:AK38)</f>
        <v>0</v>
      </c>
      <c r="AO47" s="106" t="s">
        <v>103</v>
      </c>
      <c r="AP47" s="107"/>
      <c r="AQ47" s="49">
        <f>SUM(AQ42:AQ45)-SUM(AP42:AP45)-COUNT(AQ6:AQ38)</f>
        <v>0</v>
      </c>
      <c r="AU47" s="106" t="s">
        <v>103</v>
      </c>
      <c r="AV47" s="107"/>
      <c r="AW47" s="49">
        <f>SUM(AW42:AW45)-SUM(AV42:AV45)-COUNT(AW6:AW38)</f>
        <v>0</v>
      </c>
      <c r="BB47" s="106" t="s">
        <v>103</v>
      </c>
      <c r="BC47" s="107"/>
      <c r="BD47" s="49">
        <f>SUM(BD42:BD45)-SUM(BC42:BC45)-COUNT(BD6:BD38)</f>
        <v>2</v>
      </c>
    </row>
    <row r="49" spans="24:24" x14ac:dyDescent="0.3">
      <c r="X49" s="96"/>
    </row>
  </sheetData>
  <mergeCells count="28">
    <mergeCell ref="AZ3:BE3"/>
    <mergeCell ref="AZ4:BE4"/>
    <mergeCell ref="BA40:BD40"/>
    <mergeCell ref="BB47:BC47"/>
    <mergeCell ref="M3:AX3"/>
    <mergeCell ref="M4:P4"/>
    <mergeCell ref="L40:O40"/>
    <mergeCell ref="M47:N47"/>
    <mergeCell ref="AO47:AP47"/>
    <mergeCell ref="AU47:AV47"/>
    <mergeCell ref="V40:Y40"/>
    <mergeCell ref="AB40:AE40"/>
    <mergeCell ref="AH40:AK40"/>
    <mergeCell ref="AN40:AQ40"/>
    <mergeCell ref="D3:L4"/>
    <mergeCell ref="D40:G40"/>
    <mergeCell ref="Q4:T4"/>
    <mergeCell ref="U4:Z4"/>
    <mergeCell ref="AT40:AW40"/>
    <mergeCell ref="Q40:T40"/>
    <mergeCell ref="R47:S47"/>
    <mergeCell ref="AA4:AF4"/>
    <mergeCell ref="AG4:AL4"/>
    <mergeCell ref="AM4:AR4"/>
    <mergeCell ref="AS4:AX4"/>
    <mergeCell ref="W47:X47"/>
    <mergeCell ref="AC47:AD47"/>
    <mergeCell ref="AI47:AJ4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Evolució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jnric _</dc:creator>
  <cp:lastModifiedBy>jnric _</cp:lastModifiedBy>
  <dcterms:created xsi:type="dcterms:W3CDTF">2015-06-05T18:19:34Z</dcterms:created>
  <dcterms:modified xsi:type="dcterms:W3CDTF">2026-05-27T16:48:57Z</dcterms:modified>
</cp:coreProperties>
</file>